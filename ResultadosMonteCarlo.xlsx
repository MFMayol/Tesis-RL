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lumnosuaicl-my.sharepoint.com/personal/matia_fernandez_alumnos_uai_cl/Documents/Industrial/Magister/Codigos/TesisDefinitivo/TesisFinal/"/>
    </mc:Choice>
  </mc:AlternateContent>
  <xr:revisionPtr revIDLastSave="12" documentId="11_2AA583FBF613C8764105102D4574C06474527A1E" xr6:coauthVersionLast="47" xr6:coauthVersionMax="47" xr10:uidLastSave="{B4C0FF74-1437-426F-AB72-C3DA68BED5AF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" l="1"/>
  <c r="D12" i="1"/>
  <c r="E12" i="1"/>
  <c r="F12" i="1"/>
  <c r="G12" i="1"/>
  <c r="H12" i="1"/>
  <c r="I12" i="1"/>
  <c r="J12" i="1"/>
  <c r="K12" i="1"/>
  <c r="L12" i="1"/>
  <c r="M12" i="1"/>
  <c r="N12" i="1"/>
  <c r="B12" i="1"/>
</calcChain>
</file>

<file path=xl/sharedStrings.xml><?xml version="1.0" encoding="utf-8"?>
<sst xmlns="http://schemas.openxmlformats.org/spreadsheetml/2006/main" count="24" uniqueCount="24">
  <si>
    <t>Instancia</t>
  </si>
  <si>
    <t>Costo Total Simple</t>
  </si>
  <si>
    <t>Costo Traslado Simple</t>
  </si>
  <si>
    <t>Costo Demanda Insatisfecha Simple</t>
  </si>
  <si>
    <t>Costo Total Clusterizado</t>
  </si>
  <si>
    <t>Costo Traslado Clusterizado</t>
  </si>
  <si>
    <t>Costo Demanda Insatisfecha Clusterizada</t>
  </si>
  <si>
    <t>Costo total Rollout Simple</t>
  </si>
  <si>
    <t>Costo traslado Rollout Simple</t>
  </si>
  <si>
    <t>costo demanda insatisfecha Rollout Simple</t>
  </si>
  <si>
    <t>Costo total RollOut Clusterizado</t>
  </si>
  <si>
    <t>Costo traslado Rollout Clusterizado</t>
  </si>
  <si>
    <t>Costo demanda insatisfecha Rollout Clusterizado</t>
  </si>
  <si>
    <t>Costo total MonteCarlo</t>
  </si>
  <si>
    <t>instancia0</t>
  </si>
  <si>
    <t>instancia1</t>
  </si>
  <si>
    <t>instancia2</t>
  </si>
  <si>
    <t>instancia3</t>
  </si>
  <si>
    <t>instancia4</t>
  </si>
  <si>
    <t>instancia5</t>
  </si>
  <si>
    <t>instancia6</t>
  </si>
  <si>
    <t>instancia7</t>
  </si>
  <si>
    <t>instancia8</t>
  </si>
  <si>
    <t>instancia9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</si>
</sst>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BB8D767-7402-460E-A5D0-24522289A79C}" name="Tabla1" displayName="Tabla1" ref="A1:N12" totalsRowCount="1" headerRowDxfId="0" headerRowBorderDxfId="1" tableBorderDxfId="2">
  <autoFilter ref="A1:N11" xr:uid="{6BB8D767-7402-460E-A5D0-24522289A79C}"/>
  <tableColumns count="14">
    <tableColumn id="1" xr3:uid="{55D8C76A-4355-4D2E-B6A6-5102F837B899}" name="Instancia"/>
    <tableColumn id="2" xr3:uid="{30AEADCC-20B8-4794-86C4-D3115A5E7EDC}" name="Costo Total Simple" totalsRowFunction="custom">
      <totalsRowFormula>AVERAGE(Tabla1[Costo Total Simple])</totalsRowFormula>
    </tableColumn>
    <tableColumn id="3" xr3:uid="{2851FAF6-CDC4-4462-9B70-45141D40DB61}" name="Costo Traslado Simple" totalsRowFunction="custom">
      <totalsRowFormula>AVERAGE(Tabla1[Costo Traslado Simple])</totalsRowFormula>
    </tableColumn>
    <tableColumn id="4" xr3:uid="{503833D9-F667-418E-AECE-B1CC0EE05063}" name="Costo Demanda Insatisfecha Simple" totalsRowFunction="custom">
      <totalsRowFormula>AVERAGE(Tabla1[Costo Demanda Insatisfecha Simple])</totalsRowFormula>
    </tableColumn>
    <tableColumn id="5" xr3:uid="{8D8A931F-FF8D-4208-93D9-A83203B56C5A}" name="Costo Total Clusterizado" totalsRowFunction="custom">
      <totalsRowFormula>AVERAGE(Tabla1[Costo Total Clusterizado])</totalsRowFormula>
    </tableColumn>
    <tableColumn id="6" xr3:uid="{3D0978AA-6F88-4F2B-9ECA-E84C9F590B19}" name="Costo Traslado Clusterizado" totalsRowFunction="custom">
      <totalsRowFormula>AVERAGE(Tabla1[Costo Traslado Clusterizado])</totalsRowFormula>
    </tableColumn>
    <tableColumn id="7" xr3:uid="{66E71C9B-C8A7-4FA0-A8FF-90E1A892C293}" name="Costo Demanda Insatisfecha Clusterizada" totalsRowFunction="custom">
      <totalsRowFormula>AVERAGE(Tabla1[Costo Demanda Insatisfecha Clusterizada])</totalsRowFormula>
    </tableColumn>
    <tableColumn id="8" xr3:uid="{F1F833C8-2000-4B19-924B-24D30C2C6AAF}" name="Costo total Rollout Simple" totalsRowFunction="custom">
      <totalsRowFormula>AVERAGE(Tabla1[Costo total Rollout Simple])</totalsRowFormula>
    </tableColumn>
    <tableColumn id="9" xr3:uid="{58FB658D-0D12-444B-900D-E75E92FFA214}" name="Costo traslado Rollout Simple" totalsRowFunction="custom">
      <totalsRowFormula>AVERAGE(Tabla1[Costo traslado Rollout Simple])</totalsRowFormula>
    </tableColumn>
    <tableColumn id="10" xr3:uid="{7C242900-DD67-4E8D-9F56-E5027A49C7EB}" name="costo demanda insatisfecha Rollout Simple" totalsRowFunction="custom">
      <totalsRowFormula>AVERAGE(Tabla1[costo demanda insatisfecha Rollout Simple])</totalsRowFormula>
    </tableColumn>
    <tableColumn id="11" xr3:uid="{E30A91F4-AD7C-418A-AC9E-74F827CE4A5D}" name="Costo total RollOut Clusterizado" totalsRowFunction="custom">
      <totalsRowFormula>AVERAGE(Tabla1[Costo total RollOut Clusterizado])</totalsRowFormula>
    </tableColumn>
    <tableColumn id="12" xr3:uid="{7A10616E-55B0-4138-BEAB-CF2083B0563E}" name="Costo traslado Rollout Clusterizado" totalsRowFunction="custom">
      <totalsRowFormula>AVERAGE(Tabla1[Costo traslado Rollout Clusterizado])</totalsRowFormula>
    </tableColumn>
    <tableColumn id="13" xr3:uid="{EE0F8D24-F666-4A93-85FD-AC7B56893724}" name="Costo demanda insatisfecha Rollout Clusterizado" totalsRowFunction="custom">
      <totalsRowFormula>AVERAGE(Tabla1[Costo demanda insatisfecha Rollout Clusterizado])</totalsRowFormula>
    </tableColumn>
    <tableColumn id="14" xr3:uid="{D1A93C6A-FB0D-4D58-ADF7-3B388FAC20B9}" name="Costo total MonteCarlo" totalsRowFunction="custom">
      <totalsRowFormula>AVERAGE(Tabla1[Costo total MonteCarlo])</totalsRow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"/>
  <sheetViews>
    <sheetView tabSelected="1" workbookViewId="0">
      <selection activeCell="H16" sqref="H16"/>
    </sheetView>
  </sheetViews>
  <sheetFormatPr baseColWidth="10" defaultColWidth="8.7265625" defaultRowHeight="14.5" x14ac:dyDescent="0.35"/>
  <cols>
    <col min="1" max="1" width="10.36328125" customWidth="1"/>
    <col min="2" max="2" width="18.36328125" customWidth="1"/>
    <col min="3" max="3" width="20.90625" hidden="1" customWidth="1"/>
    <col min="4" max="4" width="32.6328125" hidden="1" customWidth="1"/>
    <col min="5" max="5" width="23.1796875" customWidth="1"/>
    <col min="6" max="6" width="26.08984375" hidden="1" customWidth="1"/>
    <col min="7" max="7" width="37.36328125" hidden="1" customWidth="1"/>
    <col min="8" max="8" width="24.54296875" customWidth="1"/>
    <col min="9" max="9" width="27.453125" hidden="1" customWidth="1"/>
    <col min="10" max="10" width="38.54296875" hidden="1" customWidth="1"/>
    <col min="11" max="11" width="29.6328125" customWidth="1"/>
    <col min="12" max="12" width="32.26953125" hidden="1" customWidth="1"/>
    <col min="13" max="13" width="43.6328125" hidden="1" customWidth="1"/>
    <col min="14" max="14" width="22.5429687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5">
      <c r="A2" t="s">
        <v>14</v>
      </c>
      <c r="B2">
        <v>301513.21025912091</v>
      </c>
      <c r="C2">
        <v>0.1252385757429777</v>
      </c>
      <c r="D2">
        <v>0.8747581076637545</v>
      </c>
      <c r="E2">
        <v>197701.29937107241</v>
      </c>
      <c r="F2">
        <v>0.171137611847235</v>
      </c>
      <c r="G2">
        <v>0.8288573300426515</v>
      </c>
      <c r="H2">
        <v>210019.0169729403</v>
      </c>
      <c r="I2">
        <v>0.14917633768678809</v>
      </c>
      <c r="J2">
        <v>0.85081890086230649</v>
      </c>
      <c r="K2">
        <v>193189.35196949451</v>
      </c>
      <c r="L2">
        <v>0.15518555488851979</v>
      </c>
      <c r="M2">
        <v>0.84480926886955188</v>
      </c>
      <c r="N2">
        <v>195607.46556814929</v>
      </c>
    </row>
    <row r="3" spans="1:14" x14ac:dyDescent="0.35">
      <c r="A3" t="s">
        <v>15</v>
      </c>
      <c r="B3">
        <v>253518.58048308201</v>
      </c>
      <c r="C3">
        <v>0.14816441559072629</v>
      </c>
      <c r="D3">
        <v>0.85183163994077093</v>
      </c>
      <c r="E3">
        <v>279353.25142948353</v>
      </c>
      <c r="F3">
        <v>7.3592047818441614E-2</v>
      </c>
      <c r="G3">
        <v>0.92640437249735874</v>
      </c>
      <c r="H3">
        <v>166241.8134014417</v>
      </c>
      <c r="I3">
        <v>0.2158217409061878</v>
      </c>
      <c r="J3">
        <v>0.78417224379619099</v>
      </c>
      <c r="K3">
        <v>163894.34418161531</v>
      </c>
      <c r="L3">
        <v>0.20591398950429071</v>
      </c>
      <c r="M3">
        <v>0.79407990904111914</v>
      </c>
      <c r="N3">
        <v>147648.449908738</v>
      </c>
    </row>
    <row r="4" spans="1:14" x14ac:dyDescent="0.35">
      <c r="A4" t="s">
        <v>16</v>
      </c>
      <c r="B4">
        <v>209333.87317121829</v>
      </c>
      <c r="C4">
        <v>0.17891368315199471</v>
      </c>
      <c r="D4">
        <v>0.8210815398130813</v>
      </c>
      <c r="E4">
        <v>175420.4844066482</v>
      </c>
      <c r="F4">
        <v>0.19919729059893801</v>
      </c>
      <c r="G4">
        <v>0.80079700884503602</v>
      </c>
      <c r="H4">
        <v>189509.588589105</v>
      </c>
      <c r="I4">
        <v>0.1877551478996913</v>
      </c>
      <c r="J4">
        <v>0.81223957535029989</v>
      </c>
      <c r="K4">
        <v>166816.18298135899</v>
      </c>
      <c r="L4">
        <v>0.1969772081874257</v>
      </c>
      <c r="M4">
        <v>0.80301679722627284</v>
      </c>
      <c r="N4">
        <v>156817.41237993279</v>
      </c>
    </row>
    <row r="5" spans="1:14" x14ac:dyDescent="0.35">
      <c r="A5" t="s">
        <v>17</v>
      </c>
      <c r="B5">
        <v>263074.77337781037</v>
      </c>
      <c r="C5">
        <v>0.1450714099887902</v>
      </c>
      <c r="D5">
        <v>0.85492478882500722</v>
      </c>
      <c r="E5">
        <v>172519.59193165551</v>
      </c>
      <c r="F5">
        <v>0.19799718717164791</v>
      </c>
      <c r="G5">
        <v>0.80199701641884069</v>
      </c>
      <c r="H5">
        <v>241963.79318798939</v>
      </c>
      <c r="I5">
        <v>0.1366884526968912</v>
      </c>
      <c r="J5">
        <v>0.86330741447044868</v>
      </c>
      <c r="K5">
        <v>208253.547613995</v>
      </c>
      <c r="L5">
        <v>0.15886110528215819</v>
      </c>
      <c r="M5">
        <v>0.84113409290193242</v>
      </c>
      <c r="N5">
        <v>142306.25777600321</v>
      </c>
    </row>
    <row r="6" spans="1:14" x14ac:dyDescent="0.35">
      <c r="A6" t="s">
        <v>18</v>
      </c>
      <c r="B6">
        <v>183144.38254196441</v>
      </c>
      <c r="C6">
        <v>0.19912804808828841</v>
      </c>
      <c r="D6">
        <v>0.80086649176859315</v>
      </c>
      <c r="E6">
        <v>163347.65642752321</v>
      </c>
      <c r="F6">
        <v>0.2179427563477935</v>
      </c>
      <c r="G6">
        <v>0.78205112177754954</v>
      </c>
      <c r="H6">
        <v>191798.28881759109</v>
      </c>
      <c r="I6">
        <v>0.17579464984178139</v>
      </c>
      <c r="J6">
        <v>0.82420013637454836</v>
      </c>
      <c r="K6">
        <v>140596.1049196008</v>
      </c>
      <c r="L6">
        <v>0.21628542733500791</v>
      </c>
      <c r="M6">
        <v>0.78370746014300552</v>
      </c>
      <c r="N6">
        <v>162038.93440134879</v>
      </c>
    </row>
    <row r="7" spans="1:14" x14ac:dyDescent="0.35">
      <c r="A7" t="s">
        <v>19</v>
      </c>
      <c r="B7">
        <v>194603.21677009619</v>
      </c>
      <c r="C7">
        <v>0.1963123790643711</v>
      </c>
      <c r="D7">
        <v>0.80368248230083161</v>
      </c>
      <c r="E7">
        <v>165587.6343232471</v>
      </c>
      <c r="F7">
        <v>0.21811058754638571</v>
      </c>
      <c r="G7">
        <v>0.78188337339178993</v>
      </c>
      <c r="H7">
        <v>221474.29154693571</v>
      </c>
      <c r="I7">
        <v>0.15682242160893631</v>
      </c>
      <c r="J7">
        <v>0.84317306321470675</v>
      </c>
      <c r="K7">
        <v>172309.0343815762</v>
      </c>
      <c r="L7">
        <v>0.19532254463512991</v>
      </c>
      <c r="M7">
        <v>0.80467165187232492</v>
      </c>
      <c r="N7">
        <v>187603.17755157629</v>
      </c>
    </row>
    <row r="8" spans="1:14" x14ac:dyDescent="0.35">
      <c r="A8" t="s">
        <v>20</v>
      </c>
      <c r="B8">
        <v>253772.4645617225</v>
      </c>
      <c r="C8">
        <v>0.14463870217918351</v>
      </c>
      <c r="D8">
        <v>0.85535735729850182</v>
      </c>
      <c r="E8">
        <v>148646.227709283</v>
      </c>
      <c r="F8">
        <v>0.23138828916844331</v>
      </c>
      <c r="G8">
        <v>0.76860498349452244</v>
      </c>
      <c r="H8">
        <v>197732.26023161231</v>
      </c>
      <c r="I8">
        <v>0.17558128658246741</v>
      </c>
      <c r="J8">
        <v>0.82441365609941231</v>
      </c>
      <c r="K8">
        <v>210099.1236821684</v>
      </c>
      <c r="L8">
        <v>0.143141865673832</v>
      </c>
      <c r="M8">
        <v>0.85685337469070244</v>
      </c>
      <c r="N8">
        <v>144732.36050735621</v>
      </c>
    </row>
    <row r="9" spans="1:14" x14ac:dyDescent="0.35">
      <c r="A9" t="s">
        <v>21</v>
      </c>
      <c r="B9">
        <v>192041.19550485371</v>
      </c>
      <c r="C9">
        <v>0.19691086849659581</v>
      </c>
      <c r="D9">
        <v>0.80308392431444597</v>
      </c>
      <c r="E9">
        <v>119819.7821494152</v>
      </c>
      <c r="F9">
        <v>0.29460483829421841</v>
      </c>
      <c r="G9">
        <v>0.705386815908149</v>
      </c>
      <c r="H9">
        <v>176895.17772707701</v>
      </c>
      <c r="I9">
        <v>0.18845052592662301</v>
      </c>
      <c r="J9">
        <v>0.81154382103998279</v>
      </c>
      <c r="K9">
        <v>131081.4995307934</v>
      </c>
      <c r="L9">
        <v>0.23797608103639609</v>
      </c>
      <c r="M9">
        <v>0.76201629018017714</v>
      </c>
      <c r="N9">
        <v>135428.3472838036</v>
      </c>
    </row>
    <row r="10" spans="1:14" x14ac:dyDescent="0.35">
      <c r="A10" t="s">
        <v>22</v>
      </c>
      <c r="B10">
        <v>262627.03799524897</v>
      </c>
      <c r="C10">
        <v>0.14204133831256749</v>
      </c>
      <c r="D10">
        <v>0.85795485402086491</v>
      </c>
      <c r="E10">
        <v>160279.53364347239</v>
      </c>
      <c r="F10">
        <v>0.19136156429138179</v>
      </c>
      <c r="G10">
        <v>0.80863219664778307</v>
      </c>
      <c r="H10">
        <v>223141.20219597081</v>
      </c>
      <c r="I10">
        <v>0.15048790352297231</v>
      </c>
      <c r="J10">
        <v>0.84950761502981553</v>
      </c>
      <c r="K10">
        <v>201200.44006615281</v>
      </c>
      <c r="L10">
        <v>0.15683506070223791</v>
      </c>
      <c r="M10">
        <v>0.84315996915440872</v>
      </c>
      <c r="N10">
        <v>161055.264628134</v>
      </c>
    </row>
    <row r="11" spans="1:14" x14ac:dyDescent="0.35">
      <c r="A11" t="s">
        <v>23</v>
      </c>
      <c r="B11">
        <v>279004.51865040348</v>
      </c>
      <c r="C11">
        <v>0.13651528770701099</v>
      </c>
      <c r="D11">
        <v>0.86348112813449385</v>
      </c>
      <c r="E11">
        <v>220561.17912687891</v>
      </c>
      <c r="F11">
        <v>0.13657907827229959</v>
      </c>
      <c r="G11">
        <v>0.8634163878588208</v>
      </c>
      <c r="H11">
        <v>206198.372414012</v>
      </c>
      <c r="I11">
        <v>0.1634310134870329</v>
      </c>
      <c r="J11">
        <v>0.83656413683768338</v>
      </c>
      <c r="K11">
        <v>224989.7430112302</v>
      </c>
      <c r="L11">
        <v>0.14803605946386711</v>
      </c>
      <c r="M11">
        <v>0.85195949590882647</v>
      </c>
      <c r="N11">
        <v>169602.37277561371</v>
      </c>
    </row>
    <row r="12" spans="1:14" x14ac:dyDescent="0.35">
      <c r="B12">
        <f>AVERAGE(Tabla1[Costo Total Simple])</f>
        <v>239263.32533155204</v>
      </c>
      <c r="C12">
        <f>AVERAGE(Tabla1[Costo Traslado Simple])</f>
        <v>0.16129347083225062</v>
      </c>
      <c r="D12">
        <f>AVERAGE(Tabla1[Costo Demanda Insatisfecha Simple])</f>
        <v>0.83870223140803457</v>
      </c>
      <c r="E12">
        <f>AVERAGE(Tabla1[Costo Total Clusterizado])</f>
        <v>180323.66405186796</v>
      </c>
      <c r="F12">
        <f>AVERAGE(Tabla1[Costo Traslado Clusterizado])</f>
        <v>0.19319112513567846</v>
      </c>
      <c r="G12">
        <f>AVERAGE(Tabla1[Costo Demanda Insatisfecha Clusterizada])</f>
        <v>0.80680306068825014</v>
      </c>
      <c r="H12">
        <f>AVERAGE(Tabla1[Costo total Rollout Simple])</f>
        <v>202497.3805084675</v>
      </c>
      <c r="I12">
        <f>AVERAGE(Tabla1[Costo traslado Rollout Simple])</f>
        <v>0.17000094801593715</v>
      </c>
      <c r="J12">
        <f>AVERAGE(Tabla1[costo demanda insatisfecha Rollout Simple])</f>
        <v>0.82999405630753942</v>
      </c>
      <c r="K12">
        <f>AVERAGE(Tabla1[Costo total RollOut Clusterizado])</f>
        <v>181242.93723379856</v>
      </c>
      <c r="L12">
        <f>AVERAGE(Tabla1[Costo traslado Rollout Clusterizado])</f>
        <v>0.18145348967088651</v>
      </c>
      <c r="M12">
        <f>AVERAGE(Tabla1[Costo demanda insatisfecha Rollout Clusterizado])</f>
        <v>0.81854083099883201</v>
      </c>
      <c r="N12">
        <f>AVERAGE(Tabla1[Costo total MonteCarlo])</f>
        <v>160284.00427806558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Matías Fernández Mayol</cp:lastModifiedBy>
  <dcterms:created xsi:type="dcterms:W3CDTF">2025-05-28T22:28:51Z</dcterms:created>
  <dcterms:modified xsi:type="dcterms:W3CDTF">2025-05-29T05:13:58Z</dcterms:modified>
</cp:coreProperties>
</file>