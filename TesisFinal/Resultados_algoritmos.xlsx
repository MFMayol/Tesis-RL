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alumnosuaicl-my.sharepoint.com/personal/matia_fernandez_alumnos_uai_cl/Documents/Industrial/Magister/Codigos/TesisDefinitivo/TesisFinal/"/>
    </mc:Choice>
  </mc:AlternateContent>
  <xr:revisionPtr revIDLastSave="63" documentId="11_2B59D2BFD3C0DD17B3593411599C38714665F9C0" xr6:coauthVersionLast="47" xr6:coauthVersionMax="47" xr10:uidLastSave="{F300811E-5658-495B-9195-16E092233D96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chart.v1.0" hidden="1">Sheet1!$I$1</definedName>
    <definedName name="_xlchart.v1.1" hidden="1">Sheet1!$I$2:$I$11</definedName>
    <definedName name="_xlchart.v1.10" hidden="1">Sheet1!$B$1</definedName>
    <definedName name="_xlchart.v1.11" hidden="1">Sheet1!$B$2:$B$11</definedName>
    <definedName name="_xlchart.v1.12" hidden="1">Sheet1!$C$1</definedName>
    <definedName name="_xlchart.v1.13" hidden="1">Sheet1!$C$2:$C$11</definedName>
    <definedName name="_xlchart.v1.14" hidden="1">Sheet1!$D$1</definedName>
    <definedName name="_xlchart.v1.15" hidden="1">Sheet1!$D$2:$D$11</definedName>
    <definedName name="_xlchart.v1.16" hidden="1">Sheet1!$E$1</definedName>
    <definedName name="_xlchart.v1.17" hidden="1">Sheet1!$E$2:$E$11</definedName>
    <definedName name="_xlchart.v1.18" hidden="1">Sheet1!$F$1</definedName>
    <definedName name="_xlchart.v1.19" hidden="1">Sheet1!$F$2:$F$11</definedName>
    <definedName name="_xlchart.v1.2" hidden="1">Sheet1!$J$1</definedName>
    <definedName name="_xlchart.v1.20" hidden="1">Sheet1!$G$1</definedName>
    <definedName name="_xlchart.v1.21" hidden="1">Sheet1!$G$2:$G$11</definedName>
    <definedName name="_xlchart.v1.22" hidden="1">Sheet1!$B$1</definedName>
    <definedName name="_xlchart.v1.23" hidden="1">Sheet1!$B$2:$B$11</definedName>
    <definedName name="_xlchart.v1.24" hidden="1">Sheet1!$C$1</definedName>
    <definedName name="_xlchart.v1.25" hidden="1">Sheet1!$C$2:$C$11</definedName>
    <definedName name="_xlchart.v1.26" hidden="1">Sheet1!$D$1</definedName>
    <definedName name="_xlchart.v1.27" hidden="1">Sheet1!$D$2:$D$11</definedName>
    <definedName name="_xlchart.v1.28" hidden="1">Sheet1!$E$1</definedName>
    <definedName name="_xlchart.v1.29" hidden="1">Sheet1!$E$2:$E$11</definedName>
    <definedName name="_xlchart.v1.3" hidden="1">Sheet1!$J$2:$J$11</definedName>
    <definedName name="_xlchart.v1.30" hidden="1">Sheet1!$F$1</definedName>
    <definedName name="_xlchart.v1.31" hidden="1">Sheet1!$F$2:$F$11</definedName>
    <definedName name="_xlchart.v1.32" hidden="1">Sheet1!$G$1</definedName>
    <definedName name="_xlchart.v1.33" hidden="1">Sheet1!$G$2:$G$11</definedName>
    <definedName name="_xlchart.v1.4" hidden="1">Sheet1!$K$1</definedName>
    <definedName name="_xlchart.v1.5" hidden="1">Sheet1!$K$2:$K$11</definedName>
    <definedName name="_xlchart.v1.6" hidden="1">Sheet1!$L$1</definedName>
    <definedName name="_xlchart.v1.7" hidden="1">Sheet1!$L$2:$L$11</definedName>
    <definedName name="_xlchart.v1.8" hidden="1">Sheet1!$M$1</definedName>
    <definedName name="_xlchart.v1.9" hidden="1">Sheet1!$M$2:$M$11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K3" i="1"/>
  <c r="L3" i="1"/>
  <c r="M3" i="1"/>
  <c r="K4" i="1"/>
  <c r="L4" i="1"/>
  <c r="M4" i="1"/>
  <c r="K5" i="1"/>
  <c r="L5" i="1"/>
  <c r="M5" i="1"/>
  <c r="K6" i="1"/>
  <c r="L6" i="1"/>
  <c r="M6" i="1"/>
  <c r="K7" i="1"/>
  <c r="L7" i="1"/>
  <c r="M7" i="1"/>
  <c r="K8" i="1"/>
  <c r="L8" i="1"/>
  <c r="M8" i="1"/>
  <c r="K9" i="1"/>
  <c r="L9" i="1"/>
  <c r="M9" i="1"/>
  <c r="K10" i="1"/>
  <c r="L10" i="1"/>
  <c r="M10" i="1"/>
  <c r="K11" i="1"/>
  <c r="L11" i="1"/>
  <c r="M11" i="1"/>
  <c r="N2" i="1"/>
  <c r="M2" i="1"/>
  <c r="K2" i="1"/>
  <c r="L2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</calcChain>
</file>

<file path=xl/sharedStrings.xml><?xml version="1.0" encoding="utf-8"?>
<sst xmlns="http://schemas.openxmlformats.org/spreadsheetml/2006/main" count="13" uniqueCount="13">
  <si>
    <t>Instancia</t>
  </si>
  <si>
    <t>FO S</t>
  </si>
  <si>
    <t>FO C</t>
  </si>
  <si>
    <t>RO S</t>
  </si>
  <si>
    <t>RO C</t>
  </si>
  <si>
    <t>FO MC</t>
  </si>
  <si>
    <t>FO MC fourier</t>
  </si>
  <si>
    <t>BEST</t>
  </si>
  <si>
    <t>GAP S</t>
  </si>
  <si>
    <t>GAP C</t>
  </si>
  <si>
    <t>GAP RO S</t>
  </si>
  <si>
    <t>GAP RO C</t>
  </si>
  <si>
    <t>GAP 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</si>
</sst>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_xlchart.v1.23</cx:f>
      </cx:numDim>
    </cx:data>
    <cx:data id="1">
      <cx:numDim type="val">
        <cx:f>_xlchart.v1.25</cx:f>
      </cx:numDim>
    </cx:data>
    <cx:data id="2">
      <cx:numDim type="val">
        <cx:f>_xlchart.v1.27</cx:f>
      </cx:numDim>
    </cx:data>
    <cx:data id="3">
      <cx:numDim type="val">
        <cx:f>_xlchart.v1.29</cx:f>
      </cx:numDim>
    </cx:data>
    <cx:data id="4">
      <cx:numDim type="val">
        <cx:f>_xlchart.v1.31</cx:f>
      </cx:numDim>
    </cx:data>
    <cx:data id="5">
      <cx:numDim type="val">
        <cx:f>_xlchart.v1.33</cx:f>
      </cx:numDim>
    </cx:data>
  </cx:chartData>
  <cx:chart>
    <cx:title pos="t" align="ctr" overlay="0">
      <cx:tx>
        <cx:txData>
          <cx:v>Costos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MX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Costos</a:t>
          </a:r>
        </a:p>
      </cx:txPr>
    </cx:title>
    <cx:plotArea>
      <cx:plotAreaRegion>
        <cx:series layoutId="boxWhisker" uniqueId="{F622046F-8739-40AE-BDEB-8E45081EDACD}">
          <cx:tx>
            <cx:txData>
              <cx:f>_xlchart.v1.22</cx:f>
              <cx:v>FO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A97464A0-5C15-4A33-B1EA-E1D97B4D3AA0}">
          <cx:tx>
            <cx:txData>
              <cx:f>_xlchart.v1.24</cx:f>
              <cx:v>FO 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D1C0A724-7897-40E9-B402-17FD0A0E09C5}">
          <cx:tx>
            <cx:txData>
              <cx:f>_xlchart.v1.26</cx:f>
              <cx:v>RO S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CB227F03-3DA7-4A04-8B71-F4D73E27EE50}">
          <cx:tx>
            <cx:txData>
              <cx:f>_xlchart.v1.28</cx:f>
              <cx:v>RO C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14DE0343-0C4A-454F-8D69-274591D7B318}">
          <cx:tx>
            <cx:txData>
              <cx:f>_xlchart.v1.30</cx:f>
              <cx:v>FO MC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E5DE2D2D-449A-4CAC-A112-AB11BFCD2706}">
          <cx:tx>
            <cx:txData>
              <cx:f>_xlchart.v1.32</cx:f>
              <cx:v>FO MC fourier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in="300000"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</cx:chartData>
  <cx:chart>
    <cx:title pos="t" align="ctr" overlay="0">
      <cx:tx>
        <cx:txData>
          <cx:v>GAP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MX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GAP</a:t>
          </a:r>
        </a:p>
      </cx:txPr>
    </cx:title>
    <cx:plotArea>
      <cx:plotAreaRegion>
        <cx:series layoutId="boxWhisker" uniqueId="{67016F75-327E-45DC-8601-9DAA135E8C63}">
          <cx:tx>
            <cx:txData>
              <cx:f>_xlchart.v1.0</cx:f>
              <cx:v>GAP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A8D491A0-DB8E-4E5F-B27F-743BA72D35A7}">
          <cx:tx>
            <cx:txData>
              <cx:f>_xlchart.v1.2</cx:f>
              <cx:v>GAP 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9AF65F49-4488-4786-A988-AE59DDBB47B4}">
          <cx:tx>
            <cx:txData>
              <cx:f>_xlchart.v1.4</cx:f>
              <cx:v>GAP RO S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9D62A730-6C8F-4236-8029-595AD266E089}">
          <cx:tx>
            <cx:txData>
              <cx:f>_xlchart.v1.6</cx:f>
              <cx:v>GAP RO C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A41417DE-A9BA-464B-A593-99F1D11E13D7}">
          <cx:tx>
            <cx:txData>
              <cx:f>_xlchart.v1.8</cx:f>
              <cx:v>GAP MC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7620</xdr:colOff>
      <xdr:row>0</xdr:row>
      <xdr:rowOff>38100</xdr:rowOff>
    </xdr:from>
    <xdr:to>
      <xdr:col>22</xdr:col>
      <xdr:colOff>601980</xdr:colOff>
      <xdr:row>15</xdr:row>
      <xdr:rowOff>121920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51D4EDF0-D2A6-147C-B166-611B042F34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54640" y="38100"/>
              <a:ext cx="4861560" cy="28270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15</xdr:col>
      <xdr:colOff>30480</xdr:colOff>
      <xdr:row>16</xdr:row>
      <xdr:rowOff>76200</xdr:rowOff>
    </xdr:from>
    <xdr:to>
      <xdr:col>23</xdr:col>
      <xdr:colOff>15240</xdr:colOff>
      <xdr:row>29</xdr:row>
      <xdr:rowOff>121920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0100F64A-197E-6324-B08D-B13DD6491A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500" y="3002280"/>
              <a:ext cx="4861560" cy="24231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Y13" sqref="Y13"/>
    </sheetView>
  </sheetViews>
  <sheetFormatPr baseColWidth="10" defaultColWidth="8.88671875" defaultRowHeight="14.4" x14ac:dyDescent="0.3"/>
  <cols>
    <col min="1" max="1" width="8.5546875" bestFit="1" customWidth="1"/>
    <col min="2" max="6" width="12" bestFit="1" customWidth="1"/>
    <col min="7" max="7" width="12.6640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4" x14ac:dyDescent="0.3">
      <c r="A2">
        <v>1</v>
      </c>
      <c r="B2">
        <v>529839.936128075</v>
      </c>
      <c r="C2">
        <v>736046.02989956876</v>
      </c>
      <c r="D2">
        <v>482387.12081999728</v>
      </c>
      <c r="E2">
        <v>496966.24628598499</v>
      </c>
      <c r="F2">
        <v>381727.44066598598</v>
      </c>
      <c r="G2">
        <v>337833.71220243367</v>
      </c>
      <c r="H2">
        <f>MIN(B2:G2)</f>
        <v>337833.71220243367</v>
      </c>
      <c r="I2" s="3">
        <f xml:space="preserve"> (B2-$H2)/$H2</f>
        <v>0.56834536338572716</v>
      </c>
      <c r="J2" s="3">
        <f xml:space="preserve"> (C2-$H2)/$H2</f>
        <v>1.1787228548065147</v>
      </c>
      <c r="K2" s="3">
        <f t="shared" ref="K2:M2" si="0" xml:space="preserve"> (D2-$H2)/$H2</f>
        <v>0.42788331476802294</v>
      </c>
      <c r="L2" s="3">
        <f t="shared" si="0"/>
        <v>0.47103805314786751</v>
      </c>
      <c r="M2" s="3">
        <f xml:space="preserve"> (F2-$H2)/$H2</f>
        <v>0.12992702290543079</v>
      </c>
      <c r="N2">
        <f xml:space="preserve"> (G2-$H2)/$H2</f>
        <v>0</v>
      </c>
    </row>
    <row r="3" spans="1:14" x14ac:dyDescent="0.3">
      <c r="A3">
        <v>2</v>
      </c>
      <c r="B3">
        <v>548662.71246639837</v>
      </c>
      <c r="C3">
        <v>601091.84880201658</v>
      </c>
      <c r="D3">
        <v>538313.73778441688</v>
      </c>
      <c r="E3">
        <v>527207.70217416738</v>
      </c>
      <c r="F3">
        <v>427168.07398959273</v>
      </c>
      <c r="G3">
        <v>375752.57599975361</v>
      </c>
      <c r="H3">
        <f t="shared" ref="H3:H11" si="1">MIN(B3:G3)</f>
        <v>375752.57599975361</v>
      </c>
      <c r="I3" s="3">
        <f xml:space="preserve"> (B3-$H3)/$H3</f>
        <v>0.46017019579064217</v>
      </c>
      <c r="J3" s="3">
        <f xml:space="preserve"> (C3-$H3)/$H3</f>
        <v>0.59970120551458506</v>
      </c>
      <c r="K3" s="3">
        <f t="shared" ref="K3:K11" si="2" xml:space="preserve"> (D3-$H3)/$H3</f>
        <v>0.43262820315241129</v>
      </c>
      <c r="L3" s="3">
        <f t="shared" ref="L3:L11" si="3" xml:space="preserve"> (E3-$H3)/$H3</f>
        <v>0.40307142478382657</v>
      </c>
      <c r="M3" s="3">
        <f t="shared" ref="M3:M11" si="4" xml:space="preserve"> (F3-$H3)/$H3</f>
        <v>0.13683338790968883</v>
      </c>
      <c r="N3">
        <f t="shared" ref="N3:N11" si="5" xml:space="preserve"> (G3-$H3)/$H3</f>
        <v>0</v>
      </c>
    </row>
    <row r="4" spans="1:14" x14ac:dyDescent="0.3">
      <c r="A4">
        <v>3</v>
      </c>
      <c r="B4">
        <v>572819.49333067343</v>
      </c>
      <c r="C4">
        <v>651770.5885839106</v>
      </c>
      <c r="D4">
        <v>523387.48322028719</v>
      </c>
      <c r="E4">
        <v>487822.79707386112</v>
      </c>
      <c r="F4">
        <v>414640.22559298639</v>
      </c>
      <c r="G4">
        <v>373434.99368074891</v>
      </c>
      <c r="H4">
        <f t="shared" si="1"/>
        <v>373434.99368074891</v>
      </c>
      <c r="I4" s="3">
        <f t="shared" ref="I3:I11" si="6" xml:space="preserve"> (B4-$H4)/$H4</f>
        <v>0.53392023517854659</v>
      </c>
      <c r="J4" s="3">
        <f t="shared" ref="J3:J11" si="7" xml:space="preserve"> (C4-$H4)/$H4</f>
        <v>0.74533881294775473</v>
      </c>
      <c r="K4" s="3">
        <f t="shared" si="2"/>
        <v>0.40154911049319941</v>
      </c>
      <c r="L4" s="3">
        <f t="shared" si="3"/>
        <v>0.30631249167533237</v>
      </c>
      <c r="M4" s="3">
        <f t="shared" si="4"/>
        <v>0.11034111052662621</v>
      </c>
      <c r="N4">
        <f t="shared" si="5"/>
        <v>0</v>
      </c>
    </row>
    <row r="5" spans="1:14" x14ac:dyDescent="0.3">
      <c r="A5">
        <v>4</v>
      </c>
      <c r="B5">
        <v>647200.71724129887</v>
      </c>
      <c r="C5">
        <v>612271.15946884314</v>
      </c>
      <c r="D5">
        <v>589814.43071461341</v>
      </c>
      <c r="E5">
        <v>549282.12185302214</v>
      </c>
      <c r="F5">
        <v>478928.91955912882</v>
      </c>
      <c r="G5">
        <v>388445.17281692778</v>
      </c>
      <c r="H5">
        <f t="shared" si="1"/>
        <v>388445.17281692778</v>
      </c>
      <c r="I5" s="3">
        <f t="shared" si="6"/>
        <v>0.66613144539273572</v>
      </c>
      <c r="J5" s="3">
        <f t="shared" si="7"/>
        <v>0.57620998358345776</v>
      </c>
      <c r="K5" s="3">
        <f t="shared" si="2"/>
        <v>0.51839814725304856</v>
      </c>
      <c r="L5" s="3">
        <f t="shared" si="3"/>
        <v>0.41405315419351596</v>
      </c>
      <c r="M5" s="3">
        <f t="shared" si="4"/>
        <v>0.23293827050554072</v>
      </c>
      <c r="N5">
        <f t="shared" si="5"/>
        <v>0</v>
      </c>
    </row>
    <row r="6" spans="1:14" x14ac:dyDescent="0.3">
      <c r="A6">
        <v>5</v>
      </c>
      <c r="B6">
        <v>652224.77615117829</v>
      </c>
      <c r="C6">
        <v>594531.1786539366</v>
      </c>
      <c r="D6">
        <v>590833.38988158968</v>
      </c>
      <c r="E6">
        <v>560956.17106846417</v>
      </c>
      <c r="F6">
        <v>485674.02247851313</v>
      </c>
      <c r="G6">
        <v>398853.94246249879</v>
      </c>
      <c r="H6">
        <f t="shared" si="1"/>
        <v>398853.94246249879</v>
      </c>
      <c r="I6" s="3">
        <f t="shared" si="6"/>
        <v>0.63524715870773185</v>
      </c>
      <c r="J6" s="3">
        <f t="shared" si="7"/>
        <v>0.49059872639929053</v>
      </c>
      <c r="K6" s="3">
        <f t="shared" si="2"/>
        <v>0.48132769162020073</v>
      </c>
      <c r="L6" s="3">
        <f t="shared" si="3"/>
        <v>0.406420023342772</v>
      </c>
      <c r="M6" s="3">
        <f t="shared" si="4"/>
        <v>0.21767386697995939</v>
      </c>
      <c r="N6">
        <f t="shared" si="5"/>
        <v>0</v>
      </c>
    </row>
    <row r="7" spans="1:14" x14ac:dyDescent="0.3">
      <c r="A7">
        <v>6</v>
      </c>
      <c r="B7">
        <v>521267.14629699523</v>
      </c>
      <c r="C7">
        <v>699817.5220179176</v>
      </c>
      <c r="D7">
        <v>489400.99906349642</v>
      </c>
      <c r="E7">
        <v>493417.51526128262</v>
      </c>
      <c r="F7">
        <v>392220.47268351668</v>
      </c>
      <c r="G7">
        <v>346128.2378543028</v>
      </c>
      <c r="H7">
        <f t="shared" si="1"/>
        <v>346128.2378543028</v>
      </c>
      <c r="I7" s="3">
        <f t="shared" si="6"/>
        <v>0.50599427983224632</v>
      </c>
      <c r="J7" s="3">
        <f t="shared" si="7"/>
        <v>1.0218446387274958</v>
      </c>
      <c r="K7" s="3">
        <f t="shared" si="2"/>
        <v>0.4139297102639225</v>
      </c>
      <c r="L7" s="3">
        <f t="shared" si="3"/>
        <v>0.42553383774767001</v>
      </c>
      <c r="M7" s="3">
        <f t="shared" si="4"/>
        <v>0.13316519656109557</v>
      </c>
      <c r="N7">
        <f t="shared" si="5"/>
        <v>0</v>
      </c>
    </row>
    <row r="8" spans="1:14" x14ac:dyDescent="0.3">
      <c r="A8">
        <v>7</v>
      </c>
      <c r="B8">
        <v>548271.03851265856</v>
      </c>
      <c r="C8">
        <v>838409.96006688371</v>
      </c>
      <c r="D8">
        <v>510762.07862686279</v>
      </c>
      <c r="E8">
        <v>507814.88581554638</v>
      </c>
      <c r="F8">
        <v>406784.20889807359</v>
      </c>
      <c r="G8">
        <v>329363.87005155161</v>
      </c>
      <c r="H8">
        <f t="shared" si="1"/>
        <v>329363.87005155161</v>
      </c>
      <c r="I8" s="3">
        <f t="shared" si="6"/>
        <v>0.66463625298926654</v>
      </c>
      <c r="J8" s="3">
        <f t="shared" si="7"/>
        <v>1.5455432010064032</v>
      </c>
      <c r="K8" s="3">
        <f t="shared" si="2"/>
        <v>0.55075320965508134</v>
      </c>
      <c r="L8" s="3">
        <f t="shared" si="3"/>
        <v>0.54180507332532812</v>
      </c>
      <c r="M8" s="3">
        <f t="shared" si="4"/>
        <v>0.23506020509901177</v>
      </c>
      <c r="N8">
        <f t="shared" si="5"/>
        <v>0</v>
      </c>
    </row>
    <row r="9" spans="1:14" x14ac:dyDescent="0.3">
      <c r="A9">
        <v>8</v>
      </c>
      <c r="B9">
        <v>506847.02179194067</v>
      </c>
      <c r="C9">
        <v>599972.79606645799</v>
      </c>
      <c r="D9">
        <v>500644.54167269758</v>
      </c>
      <c r="E9">
        <v>504379.73770899122</v>
      </c>
      <c r="F9">
        <v>387857.60827708378</v>
      </c>
      <c r="G9">
        <v>345559.13666973601</v>
      </c>
      <c r="H9">
        <f t="shared" si="1"/>
        <v>345559.13666973601</v>
      </c>
      <c r="I9" s="3">
        <f t="shared" si="6"/>
        <v>0.46674466974477258</v>
      </c>
      <c r="J9" s="3">
        <f t="shared" si="7"/>
        <v>0.7362376866911633</v>
      </c>
      <c r="K9" s="3">
        <f t="shared" si="2"/>
        <v>0.44879555637732299</v>
      </c>
      <c r="L9" s="3">
        <f t="shared" si="3"/>
        <v>0.45960469333804965</v>
      </c>
      <c r="M9" s="3">
        <f t="shared" si="4"/>
        <v>0.12240588402607926</v>
      </c>
      <c r="N9">
        <f t="shared" si="5"/>
        <v>0</v>
      </c>
    </row>
    <row r="10" spans="1:14" x14ac:dyDescent="0.3">
      <c r="A10">
        <v>9</v>
      </c>
      <c r="B10">
        <v>450569.0029683985</v>
      </c>
      <c r="C10">
        <v>448603.56813289068</v>
      </c>
      <c r="D10">
        <v>440996.59605241509</v>
      </c>
      <c r="E10">
        <v>371836.61357238202</v>
      </c>
      <c r="F10">
        <v>340084.44113882678</v>
      </c>
      <c r="G10">
        <v>306206.8022199524</v>
      </c>
      <c r="H10">
        <f t="shared" si="1"/>
        <v>306206.8022199524</v>
      </c>
      <c r="I10" s="3">
        <f t="shared" si="6"/>
        <v>0.47145327831335643</v>
      </c>
      <c r="J10" s="3">
        <f t="shared" si="7"/>
        <v>0.46503462653534655</v>
      </c>
      <c r="K10" s="3">
        <f t="shared" si="2"/>
        <v>0.4401920298806471</v>
      </c>
      <c r="L10" s="3">
        <f t="shared" si="3"/>
        <v>0.21433165715661293</v>
      </c>
      <c r="M10" s="3">
        <f t="shared" si="4"/>
        <v>0.11063646748950934</v>
      </c>
      <c r="N10">
        <f t="shared" si="5"/>
        <v>0</v>
      </c>
    </row>
    <row r="11" spans="1:14" x14ac:dyDescent="0.3">
      <c r="A11">
        <v>10</v>
      </c>
      <c r="B11">
        <v>502286.57496292022</v>
      </c>
      <c r="C11">
        <v>695877.68220472778</v>
      </c>
      <c r="D11">
        <v>463319.08203600481</v>
      </c>
      <c r="E11">
        <v>456048.3866796465</v>
      </c>
      <c r="F11">
        <v>378481.39828142338</v>
      </c>
      <c r="G11">
        <v>339080.42362693063</v>
      </c>
      <c r="H11">
        <f t="shared" si="1"/>
        <v>339080.42362693063</v>
      </c>
      <c r="I11" s="3">
        <f t="shared" si="6"/>
        <v>0.48131988744816273</v>
      </c>
      <c r="J11" s="3">
        <f t="shared" si="7"/>
        <v>1.0522496544075315</v>
      </c>
      <c r="K11" s="3">
        <f t="shared" si="2"/>
        <v>0.36639879436321088</v>
      </c>
      <c r="L11" s="3">
        <f t="shared" si="3"/>
        <v>0.34495640238260566</v>
      </c>
      <c r="M11" s="3">
        <f t="shared" si="4"/>
        <v>0.11619949696017609</v>
      </c>
      <c r="N11">
        <f t="shared" si="5"/>
        <v>0</v>
      </c>
    </row>
  </sheetData>
  <pageMargins left="0.75" right="0.75" top="1" bottom="1" header="0.5" footer="0.5"/>
  <ignoredErrors>
    <ignoredError sqref="H2:H11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Matías Fernández Mayol</cp:lastModifiedBy>
  <dcterms:created xsi:type="dcterms:W3CDTF">2025-07-10T13:39:34Z</dcterms:created>
  <dcterms:modified xsi:type="dcterms:W3CDTF">2025-07-10T15:21:07Z</dcterms:modified>
</cp:coreProperties>
</file>