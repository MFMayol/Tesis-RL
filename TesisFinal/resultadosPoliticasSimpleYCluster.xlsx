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alumnosuaicl-my.sharepoint.com/personal/matia_fernandez_alumnos_uai_cl/Documents/Industrial/Magister/Codigos/TesisDefinitivo/TesisFinal/"/>
    </mc:Choice>
  </mc:AlternateContent>
  <xr:revisionPtr revIDLastSave="76" documentId="11_5A11F167965FF20E62355476585DCE3A87479CDB" xr6:coauthVersionLast="47" xr6:coauthVersionMax="47" xr10:uidLastSave="{9DF4CFCB-D313-4E24-8CDC-584070285B72}"/>
  <bookViews>
    <workbookView xWindow="-110" yWindow="-110" windowWidth="19420" windowHeight="1102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D22" i="2"/>
  <c r="E22" i="2"/>
  <c r="F22" i="2"/>
  <c r="B22" i="2"/>
</calcChain>
</file>

<file path=xl/sharedStrings.xml><?xml version="1.0" encoding="utf-8"?>
<sst xmlns="http://schemas.openxmlformats.org/spreadsheetml/2006/main" count="59" uniqueCount="34">
  <si>
    <t>Instancia</t>
  </si>
  <si>
    <t>Costo Total Simple</t>
  </si>
  <si>
    <t>Costo Traslado Simple</t>
  </si>
  <si>
    <t>Costo Demanda Insatisfecha Simple</t>
  </si>
  <si>
    <t>Costo Total Clusterizado</t>
  </si>
  <si>
    <t>Costo Traslado Clusterizado</t>
  </si>
  <si>
    <t>Costo Demanda Insatisfecha Clusterizada</t>
  </si>
  <si>
    <t>Costo total Rollout Simple</t>
  </si>
  <si>
    <t>Costo traslado Rollout Simple</t>
  </si>
  <si>
    <t>costo demanda insatisfecha Rollout Simple</t>
  </si>
  <si>
    <t>Costo total RollOut Clusterizado</t>
  </si>
  <si>
    <t>Costo traslado Rollout Clusterizado</t>
  </si>
  <si>
    <t>Costo demanda insatisfecha Rollout Clusterizado</t>
  </si>
  <si>
    <t>instancia0</t>
  </si>
  <si>
    <t>instancia1</t>
  </si>
  <si>
    <t>instancia2</t>
  </si>
  <si>
    <t>instancia3</t>
  </si>
  <si>
    <t>instancia4</t>
  </si>
  <si>
    <t>instancia5</t>
  </si>
  <si>
    <t>instancia6</t>
  </si>
  <si>
    <t>instancia7</t>
  </si>
  <si>
    <t>instancia8</t>
  </si>
  <si>
    <t>instancia9</t>
  </si>
  <si>
    <t>instancia10</t>
  </si>
  <si>
    <t>instancia11</t>
  </si>
  <si>
    <t>instancia12</t>
  </si>
  <si>
    <t>instancia13</t>
  </si>
  <si>
    <t>instancia14</t>
  </si>
  <si>
    <t>instancia15</t>
  </si>
  <si>
    <t>instancia16</t>
  </si>
  <si>
    <t>instancia17</t>
  </si>
  <si>
    <t>instancia18</t>
  </si>
  <si>
    <t>instancia19</t>
  </si>
  <si>
    <t>Costo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</si>
</sst>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1" fontId="0" fillId="0" borderId="0" xfId="1" applyFont="1"/>
  </cellXfs>
  <cellStyles count="2">
    <cellStyle name="Millares [0]" xfId="1" builtinId="6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52DC3-063A-434E-96BB-26570A264FFC}" name="Tabla1" displayName="Tabla1" ref="A1:F22" totalsRowCount="1" headerRowDxfId="2" headerRowBorderDxfId="1" tableBorderDxfId="0">
  <autoFilter ref="A1:F21" xr:uid="{5F452DC3-063A-434E-96BB-26570A264FFC}"/>
  <tableColumns count="6">
    <tableColumn id="1" xr3:uid="{096EBD82-89F9-4208-B052-89679CD54663}" name="Instancia"/>
    <tableColumn id="2" xr3:uid="{4656AB24-0696-41BC-AF9B-9C167044DBDD}" name="Costo Total Simple" totalsRowFunction="custom" totalsRowCellStyle="Millares [0]">
      <totalsRowFormula>AVERAGE(Tabla1[Costo Total Simple])</totalsRowFormula>
    </tableColumn>
    <tableColumn id="3" xr3:uid="{1ABFFDBE-9B51-4DBC-B79B-912221FE77B4}" name="Costo Total Clusterizado" totalsRowFunction="custom" totalsRowCellStyle="Millares [0]">
      <totalsRowFormula>AVERAGE(Tabla1[Costo Total Clusterizado])</totalsRowFormula>
    </tableColumn>
    <tableColumn id="4" xr3:uid="{058B3609-B9DA-4749-A4F9-20CC545B96CA}" name="Costo total Rollout Simple" totalsRowFunction="custom" totalsRowCellStyle="Millares [0]">
      <totalsRowFormula>AVERAGE(Tabla1[Costo total Rollout Simple])</totalsRowFormula>
    </tableColumn>
    <tableColumn id="5" xr3:uid="{9C61A64F-DCAC-4E5C-BB7B-3AFFD0FEB243}" name="Costo total RollOut Clusterizado" totalsRowFunction="custom" totalsRowCellStyle="Millares [0]">
      <totalsRowFormula>AVERAGE(Tabla1[Costo total RollOut Clusterizado])</totalsRowFormula>
    </tableColumn>
    <tableColumn id="6" xr3:uid="{C407D8F9-C95D-48F0-AED9-66BE46FEC118}" name="Costo MC" totalsRowFunction="custom" totalsRowCellStyle="Millares [0]">
      <totalsRowFormula>AVERAGE(Tabla1[Costo MC])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opLeftCell="I1" workbookViewId="0">
      <selection sqref="A1:M21"/>
    </sheetView>
  </sheetViews>
  <sheetFormatPr baseColWidth="10" defaultColWidth="8.7265625" defaultRowHeight="14.5" x14ac:dyDescent="0.35"/>
  <cols>
    <col min="1" max="1" width="8.36328125" bestFit="1" customWidth="1"/>
    <col min="2" max="2" width="16.453125" bestFit="1" customWidth="1"/>
    <col min="3" max="3" width="19.36328125" bestFit="1" customWidth="1"/>
    <col min="4" max="4" width="30.90625" bestFit="1" customWidth="1"/>
    <col min="5" max="5" width="21.36328125" bestFit="1" customWidth="1"/>
    <col min="6" max="6" width="24.26953125" bestFit="1" customWidth="1"/>
    <col min="7" max="7" width="35.7265625" bestFit="1" customWidth="1"/>
    <col min="8" max="8" width="22.7265625" bestFit="1" customWidth="1"/>
    <col min="9" max="9" width="25.6328125" bestFit="1" customWidth="1"/>
    <col min="10" max="10" width="37" bestFit="1" customWidth="1"/>
    <col min="11" max="11" width="27.90625" bestFit="1" customWidth="1"/>
    <col min="12" max="12" width="30.54296875" bestFit="1" customWidth="1"/>
    <col min="13" max="13" width="42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2979.2673447018001</v>
      </c>
      <c r="C2">
        <v>0.26617321634317093</v>
      </c>
      <c r="D2">
        <v>0.73349124328935911</v>
      </c>
      <c r="E2">
        <v>2256.381435810466</v>
      </c>
      <c r="F2">
        <v>0.28988518529901153</v>
      </c>
      <c r="G2">
        <v>0.70967182355020786</v>
      </c>
      <c r="H2">
        <v>2142.135579957293</v>
      </c>
      <c r="I2">
        <v>0.31035627711922331</v>
      </c>
      <c r="J2">
        <v>0.68917711684364491</v>
      </c>
      <c r="K2">
        <v>1616.0612738612731</v>
      </c>
      <c r="L2">
        <v>0.42673786393605362</v>
      </c>
      <c r="M2">
        <v>0.5726437303076749</v>
      </c>
    </row>
    <row r="3" spans="1:13" x14ac:dyDescent="0.35">
      <c r="A3" t="s">
        <v>14</v>
      </c>
      <c r="B3">
        <v>2320.89632589138</v>
      </c>
      <c r="C3">
        <v>0.2359693323865531</v>
      </c>
      <c r="D3">
        <v>0.76359998516270611</v>
      </c>
      <c r="E3">
        <v>3196.273569707198</v>
      </c>
      <c r="F3">
        <v>0.1004836035149223</v>
      </c>
      <c r="G3">
        <v>0.89920363000507597</v>
      </c>
      <c r="H3">
        <v>765.0026020785192</v>
      </c>
      <c r="I3">
        <v>0.65796460835893655</v>
      </c>
      <c r="J3">
        <v>0.34072991304701361</v>
      </c>
      <c r="K3">
        <v>940.33974142666352</v>
      </c>
      <c r="L3">
        <v>0.54214192705091735</v>
      </c>
      <c r="M3">
        <v>0.45679575723458371</v>
      </c>
    </row>
    <row r="4" spans="1:13" x14ac:dyDescent="0.35">
      <c r="A4" t="s">
        <v>15</v>
      </c>
      <c r="B4">
        <v>872.54419069061987</v>
      </c>
      <c r="C4">
        <v>0.60162290161317111</v>
      </c>
      <c r="D4">
        <v>0.39723233660985541</v>
      </c>
      <c r="E4">
        <v>588.64712866683055</v>
      </c>
      <c r="F4">
        <v>0.84567040934168969</v>
      </c>
      <c r="G4">
        <v>0.15263366109063661</v>
      </c>
      <c r="H4">
        <v>578.2169861394583</v>
      </c>
      <c r="I4">
        <v>0.75138850647358435</v>
      </c>
      <c r="J4">
        <v>0.2468850248213712</v>
      </c>
      <c r="K4">
        <v>457.23908314616892</v>
      </c>
      <c r="L4">
        <v>0.99781773306385346</v>
      </c>
      <c r="M4">
        <v>0</v>
      </c>
    </row>
    <row r="5" spans="1:13" x14ac:dyDescent="0.35">
      <c r="A5" t="s">
        <v>16</v>
      </c>
      <c r="B5">
        <v>823.30842506681483</v>
      </c>
      <c r="C5">
        <v>0.64697679757863358</v>
      </c>
      <c r="D5">
        <v>0.35181006426871569</v>
      </c>
      <c r="E5">
        <v>1424.864226756207</v>
      </c>
      <c r="F5">
        <v>0.22082342823938619</v>
      </c>
      <c r="G5">
        <v>0.77847524271312463</v>
      </c>
      <c r="H5">
        <v>441.76865184444148</v>
      </c>
      <c r="I5">
        <v>0.89159124115935851</v>
      </c>
      <c r="J5">
        <v>0.10615024303146139</v>
      </c>
      <c r="K5">
        <v>509.84793238299511</v>
      </c>
      <c r="L5">
        <v>0.77488408446022328</v>
      </c>
      <c r="M5">
        <v>0.22315838583943109</v>
      </c>
    </row>
    <row r="6" spans="1:13" x14ac:dyDescent="0.35">
      <c r="A6" t="s">
        <v>17</v>
      </c>
      <c r="B6">
        <v>900.06863797970937</v>
      </c>
      <c r="C6">
        <v>0.72699083107413687</v>
      </c>
      <c r="D6">
        <v>0.27189937555624588</v>
      </c>
      <c r="E6">
        <v>1045.6166939534719</v>
      </c>
      <c r="F6">
        <v>0.48882909751888221</v>
      </c>
      <c r="G6">
        <v>0.51021544285031173</v>
      </c>
      <c r="H6">
        <v>696.8180348782339</v>
      </c>
      <c r="I6">
        <v>0.8409327439933979</v>
      </c>
      <c r="J6">
        <v>0.15763421766420019</v>
      </c>
      <c r="K6">
        <v>580.75491945811382</v>
      </c>
      <c r="L6">
        <v>0.81779268820152717</v>
      </c>
      <c r="M6">
        <v>0.1804883748947137</v>
      </c>
    </row>
    <row r="7" spans="1:13" x14ac:dyDescent="0.35">
      <c r="A7" t="s">
        <v>18</v>
      </c>
      <c r="B7">
        <v>1847.760178598164</v>
      </c>
      <c r="C7">
        <v>0.28708979387505879</v>
      </c>
      <c r="D7">
        <v>0.71236930308539248</v>
      </c>
      <c r="E7">
        <v>951.65397270724839</v>
      </c>
      <c r="F7">
        <v>0.53393360787837529</v>
      </c>
      <c r="G7">
        <v>0.46501669304026971</v>
      </c>
      <c r="H7">
        <v>1061.799657006115</v>
      </c>
      <c r="I7">
        <v>0.47308978102466781</v>
      </c>
      <c r="J7">
        <v>0.52596930787001883</v>
      </c>
      <c r="K7">
        <v>847.83446332379071</v>
      </c>
      <c r="L7">
        <v>0.55586157691597859</v>
      </c>
      <c r="M7">
        <v>0.44296033708114602</v>
      </c>
    </row>
    <row r="8" spans="1:13" x14ac:dyDescent="0.35">
      <c r="A8" t="s">
        <v>19</v>
      </c>
      <c r="B8">
        <v>2494.823491236682</v>
      </c>
      <c r="C8">
        <v>0.30163330615325568</v>
      </c>
      <c r="D8">
        <v>0.69796602448710754</v>
      </c>
      <c r="E8">
        <v>2698.7627535045181</v>
      </c>
      <c r="F8">
        <v>0.2177090385966515</v>
      </c>
      <c r="G8">
        <v>0.78192055848601716</v>
      </c>
      <c r="H8">
        <v>1809.317883767168</v>
      </c>
      <c r="I8">
        <v>0.37138112029701309</v>
      </c>
      <c r="J8">
        <v>0.628066490529259</v>
      </c>
      <c r="K8">
        <v>1759.4441221962791</v>
      </c>
      <c r="L8">
        <v>0.37174944319153569</v>
      </c>
      <c r="M8">
        <v>0.62768251833033706</v>
      </c>
    </row>
    <row r="9" spans="1:13" x14ac:dyDescent="0.35">
      <c r="A9" t="s">
        <v>20</v>
      </c>
      <c r="B9">
        <v>1417.2587789974641</v>
      </c>
      <c r="C9">
        <v>0.38163612100470667</v>
      </c>
      <c r="D9">
        <v>0.61765878905345128</v>
      </c>
      <c r="E9">
        <v>1058.0971000273969</v>
      </c>
      <c r="F9">
        <v>0.45047531526151408</v>
      </c>
      <c r="G9">
        <v>0.54858048424924466</v>
      </c>
      <c r="H9">
        <v>879.82365599220884</v>
      </c>
      <c r="I9">
        <v>0.57766801848554084</v>
      </c>
      <c r="J9">
        <v>0.42119668048888281</v>
      </c>
      <c r="K9">
        <v>764.3971132433719</v>
      </c>
      <c r="L9">
        <v>0.59628799919219466</v>
      </c>
      <c r="M9">
        <v>0.40240548947833021</v>
      </c>
    </row>
    <row r="10" spans="1:13" x14ac:dyDescent="0.35">
      <c r="A10" t="s">
        <v>21</v>
      </c>
      <c r="B10">
        <v>1933.003736476516</v>
      </c>
      <c r="C10">
        <v>0.40951510151652359</v>
      </c>
      <c r="D10">
        <v>0.58996783640074157</v>
      </c>
      <c r="E10">
        <v>3660.2916422647199</v>
      </c>
      <c r="F10">
        <v>0.1016831431746959</v>
      </c>
      <c r="G10">
        <v>0.89804372917044717</v>
      </c>
      <c r="H10">
        <v>1354.2491328068211</v>
      </c>
      <c r="I10">
        <v>0.50267446502319779</v>
      </c>
      <c r="J10">
        <v>0.49658766326318698</v>
      </c>
      <c r="K10">
        <v>1338.7136463496511</v>
      </c>
      <c r="L10">
        <v>0.44017887550556611</v>
      </c>
      <c r="M10">
        <v>0.5590746963284412</v>
      </c>
    </row>
    <row r="11" spans="1:13" x14ac:dyDescent="0.35">
      <c r="A11" t="s">
        <v>22</v>
      </c>
      <c r="B11">
        <v>3116.661661666913</v>
      </c>
      <c r="C11">
        <v>0.25713555499742402</v>
      </c>
      <c r="D11">
        <v>0.74254369178798063</v>
      </c>
      <c r="E11">
        <v>2399.145387302945</v>
      </c>
      <c r="F11">
        <v>0.28254346211292652</v>
      </c>
      <c r="G11">
        <v>0.7170398964597291</v>
      </c>
      <c r="H11">
        <v>2562.9276324370412</v>
      </c>
      <c r="I11">
        <v>0.25816938983097248</v>
      </c>
      <c r="J11">
        <v>0.74144058356010578</v>
      </c>
      <c r="K11">
        <v>2025.3984889471869</v>
      </c>
      <c r="L11">
        <v>0.31652140111909838</v>
      </c>
      <c r="M11">
        <v>0.68298511252791927</v>
      </c>
    </row>
    <row r="12" spans="1:13" x14ac:dyDescent="0.35">
      <c r="A12" t="s">
        <v>23</v>
      </c>
      <c r="B12">
        <v>2118.4125855086058</v>
      </c>
      <c r="C12">
        <v>0.31773548487587361</v>
      </c>
      <c r="D12">
        <v>0.68179268627549283</v>
      </c>
      <c r="E12">
        <v>1982.5074180757069</v>
      </c>
      <c r="F12">
        <v>0.25485532016115342</v>
      </c>
      <c r="G12">
        <v>0.74464052240999767</v>
      </c>
      <c r="H12">
        <v>1050.2599867707081</v>
      </c>
      <c r="I12">
        <v>0.59382074332375989</v>
      </c>
      <c r="J12">
        <v>0.4052280171992465</v>
      </c>
      <c r="K12">
        <v>1294.5620591707309</v>
      </c>
      <c r="L12">
        <v>0.42727560231661721</v>
      </c>
      <c r="M12">
        <v>0.57195253191831097</v>
      </c>
    </row>
    <row r="13" spans="1:13" x14ac:dyDescent="0.35">
      <c r="A13" t="s">
        <v>24</v>
      </c>
      <c r="B13">
        <v>2391.1563948039002</v>
      </c>
      <c r="C13">
        <v>0.22872935732479779</v>
      </c>
      <c r="D13">
        <v>0.77085260980654402</v>
      </c>
      <c r="E13">
        <v>2310.269698104551</v>
      </c>
      <c r="F13">
        <v>0.18140232550463081</v>
      </c>
      <c r="G13">
        <v>0.81816501187671431</v>
      </c>
      <c r="H13">
        <v>1744.6534384910069</v>
      </c>
      <c r="I13">
        <v>0.29481993799175171</v>
      </c>
      <c r="J13">
        <v>0.70460721061750242</v>
      </c>
      <c r="K13">
        <v>1518.894213490086</v>
      </c>
      <c r="L13">
        <v>0.31179420862580798</v>
      </c>
      <c r="M13">
        <v>0.68754785084706571</v>
      </c>
    </row>
    <row r="14" spans="1:13" x14ac:dyDescent="0.35">
      <c r="A14" t="s">
        <v>25</v>
      </c>
      <c r="B14">
        <v>3131.9546118748399</v>
      </c>
      <c r="C14">
        <v>0.21001089814100529</v>
      </c>
      <c r="D14">
        <v>0.78966991434309208</v>
      </c>
      <c r="E14">
        <v>2360.8755977204969</v>
      </c>
      <c r="F14">
        <v>0.26499092429954613</v>
      </c>
      <c r="G14">
        <v>0.7345856833757417</v>
      </c>
      <c r="H14">
        <v>2597.9941058976151</v>
      </c>
      <c r="I14">
        <v>0.2339343919703242</v>
      </c>
      <c r="J14">
        <v>0.76568084378656698</v>
      </c>
      <c r="K14">
        <v>2045.3142529366571</v>
      </c>
      <c r="L14">
        <v>0.28603341451425401</v>
      </c>
      <c r="M14">
        <v>0.71347790199123129</v>
      </c>
    </row>
    <row r="15" spans="1:13" x14ac:dyDescent="0.35">
      <c r="A15" t="s">
        <v>26</v>
      </c>
      <c r="B15">
        <v>1640.116370397023</v>
      </c>
      <c r="C15">
        <v>0.33398994750410121</v>
      </c>
      <c r="D15">
        <v>0.66540071118528965</v>
      </c>
      <c r="E15">
        <v>1121.7449545961649</v>
      </c>
      <c r="F15">
        <v>0.47806490013506597</v>
      </c>
      <c r="G15">
        <v>0.52104442563308262</v>
      </c>
      <c r="H15">
        <v>954.85111261435782</v>
      </c>
      <c r="I15">
        <v>0.53340013511085349</v>
      </c>
      <c r="J15">
        <v>0.46555367685127869</v>
      </c>
      <c r="K15">
        <v>926.62423799565374</v>
      </c>
      <c r="L15">
        <v>0.48254909656398082</v>
      </c>
      <c r="M15">
        <v>0.51637288072052756</v>
      </c>
    </row>
    <row r="16" spans="1:13" x14ac:dyDescent="0.35">
      <c r="A16" t="s">
        <v>27</v>
      </c>
      <c r="B16">
        <v>848.06164177232756</v>
      </c>
      <c r="C16">
        <v>0.88457846264797069</v>
      </c>
      <c r="D16">
        <v>0.11424376656272291</v>
      </c>
      <c r="E16">
        <v>5299.9229613259304</v>
      </c>
      <c r="F16">
        <v>1.319071449180997E-2</v>
      </c>
      <c r="G16">
        <v>0.98662063911447784</v>
      </c>
      <c r="H16">
        <v>667.11109049740833</v>
      </c>
      <c r="I16">
        <v>0.87576916297227358</v>
      </c>
      <c r="J16">
        <v>0.12273407995510301</v>
      </c>
      <c r="K16">
        <v>643.69239812261753</v>
      </c>
      <c r="L16">
        <v>0.71924595275656611</v>
      </c>
      <c r="M16">
        <v>0.27920291991059709</v>
      </c>
    </row>
    <row r="17" spans="1:13" x14ac:dyDescent="0.35">
      <c r="A17" t="s">
        <v>28</v>
      </c>
      <c r="B17">
        <v>1433.610395923233</v>
      </c>
      <c r="C17">
        <v>0.45141900390765533</v>
      </c>
      <c r="D17">
        <v>0.54788394273009244</v>
      </c>
      <c r="E17">
        <v>1379.514016232132</v>
      </c>
      <c r="F17">
        <v>0.36979995148871431</v>
      </c>
      <c r="G17">
        <v>0.62947568063943404</v>
      </c>
      <c r="H17">
        <v>895.62324644380499</v>
      </c>
      <c r="I17">
        <v>0.60072415987439232</v>
      </c>
      <c r="J17">
        <v>0.3981605444827987</v>
      </c>
      <c r="K17">
        <v>848.74425143897736</v>
      </c>
      <c r="L17">
        <v>0.63400752700198326</v>
      </c>
      <c r="M17">
        <v>0.36481564832599761</v>
      </c>
    </row>
    <row r="18" spans="1:13" x14ac:dyDescent="0.35">
      <c r="A18" t="s">
        <v>29</v>
      </c>
      <c r="B18">
        <v>2266.212728156891</v>
      </c>
      <c r="C18">
        <v>0.28193769389982798</v>
      </c>
      <c r="D18">
        <v>0.71762123588757987</v>
      </c>
      <c r="E18">
        <v>4117.6397477507708</v>
      </c>
      <c r="F18">
        <v>5.4542218185858277E-2</v>
      </c>
      <c r="G18">
        <v>0.94521498320556085</v>
      </c>
      <c r="H18">
        <v>1507.233242960966</v>
      </c>
      <c r="I18">
        <v>0.3946559630209468</v>
      </c>
      <c r="J18">
        <v>0.60468100955629367</v>
      </c>
      <c r="K18">
        <v>1547.0579221597079</v>
      </c>
      <c r="L18">
        <v>0.38245204761700641</v>
      </c>
      <c r="M18">
        <v>0.61690198172150545</v>
      </c>
    </row>
    <row r="19" spans="1:13" x14ac:dyDescent="0.35">
      <c r="A19" t="s">
        <v>30</v>
      </c>
      <c r="B19">
        <v>3193.6908872437698</v>
      </c>
      <c r="C19">
        <v>0.2490666281426229</v>
      </c>
      <c r="D19">
        <v>0.75062035252771575</v>
      </c>
      <c r="E19">
        <v>2415.0330468209572</v>
      </c>
      <c r="F19">
        <v>0.28395019170935848</v>
      </c>
      <c r="G19">
        <v>0.71563590666735188</v>
      </c>
      <c r="H19">
        <v>2443.065963332519</v>
      </c>
      <c r="I19">
        <v>0.30934760954717139</v>
      </c>
      <c r="J19">
        <v>0.6902432361930817</v>
      </c>
      <c r="K19">
        <v>1830.3321084573749</v>
      </c>
      <c r="L19">
        <v>0.37094970667532912</v>
      </c>
      <c r="M19">
        <v>0.62850424272282668</v>
      </c>
    </row>
    <row r="20" spans="1:13" x14ac:dyDescent="0.35">
      <c r="A20" t="s">
        <v>31</v>
      </c>
      <c r="B20">
        <v>1571.4812223941481</v>
      </c>
      <c r="C20">
        <v>0.41239361917900458</v>
      </c>
      <c r="D20">
        <v>0.58697044317941416</v>
      </c>
      <c r="E20">
        <v>1689.525534895316</v>
      </c>
      <c r="F20">
        <v>0.35463855618864709</v>
      </c>
      <c r="G20">
        <v>0.64476991178219467</v>
      </c>
      <c r="H20">
        <v>1123.649809419255</v>
      </c>
      <c r="I20">
        <v>0.55008217156833228</v>
      </c>
      <c r="J20">
        <v>0.44902866276283038</v>
      </c>
      <c r="K20">
        <v>838.73776046373928</v>
      </c>
      <c r="L20">
        <v>0.66537172289975421</v>
      </c>
      <c r="M20">
        <v>0.33343742913903501</v>
      </c>
    </row>
    <row r="21" spans="1:13" x14ac:dyDescent="0.35">
      <c r="A21" t="s">
        <v>32</v>
      </c>
      <c r="B21">
        <v>650.47652034382554</v>
      </c>
      <c r="C21">
        <v>0.83268775374671367</v>
      </c>
      <c r="D21">
        <v>0.16577727151701729</v>
      </c>
      <c r="E21">
        <v>1624.7002087195931</v>
      </c>
      <c r="F21">
        <v>0.1880421784286806</v>
      </c>
      <c r="G21">
        <v>0.81134270200952285</v>
      </c>
      <c r="H21">
        <v>419.17796014495838</v>
      </c>
      <c r="I21">
        <v>0.93336156901152023</v>
      </c>
      <c r="J21">
        <v>6.425848702460546E-2</v>
      </c>
      <c r="K21">
        <v>451.67930277566438</v>
      </c>
      <c r="L21">
        <v>0.93151884831067089</v>
      </c>
      <c r="M21">
        <v>6.6272082279995884E-2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F4CF-992F-4C65-9F5F-0450ADA86941}">
  <dimension ref="A1:F22"/>
  <sheetViews>
    <sheetView tabSelected="1" topLeftCell="A5" workbookViewId="0">
      <selection activeCell="H13" sqref="H13"/>
    </sheetView>
  </sheetViews>
  <sheetFormatPr baseColWidth="10" defaultRowHeight="14.5" x14ac:dyDescent="0.35"/>
  <cols>
    <col min="1" max="1" width="10.36328125" customWidth="1"/>
    <col min="2" max="2" width="18.36328125" customWidth="1"/>
    <col min="3" max="3" width="23.1796875" customWidth="1"/>
    <col min="4" max="4" width="24.54296875" customWidth="1"/>
    <col min="5" max="5" width="29.6328125" customWidth="1"/>
    <col min="6" max="6" width="13.08984375" customWidth="1"/>
  </cols>
  <sheetData>
    <row r="1" spans="1:6" x14ac:dyDescent="0.35">
      <c r="A1" s="2" t="s">
        <v>0</v>
      </c>
      <c r="B1" s="2" t="s">
        <v>1</v>
      </c>
      <c r="C1" s="2" t="s">
        <v>4</v>
      </c>
      <c r="D1" s="2" t="s">
        <v>7</v>
      </c>
      <c r="E1" s="2" t="s">
        <v>10</v>
      </c>
      <c r="F1" s="2" t="s">
        <v>33</v>
      </c>
    </row>
    <row r="2" spans="1:6" x14ac:dyDescent="0.35">
      <c r="A2" t="s">
        <v>13</v>
      </c>
      <c r="B2">
        <v>29250</v>
      </c>
      <c r="C2">
        <v>28356</v>
      </c>
      <c r="D2">
        <v>27648</v>
      </c>
      <c r="E2">
        <v>26245</v>
      </c>
      <c r="F2">
        <v>27350</v>
      </c>
    </row>
    <row r="3" spans="1:6" x14ac:dyDescent="0.35">
      <c r="A3" t="s">
        <v>14</v>
      </c>
      <c r="B3">
        <v>23760</v>
      </c>
      <c r="C3">
        <v>25031</v>
      </c>
      <c r="D3">
        <v>21989</v>
      </c>
      <c r="E3">
        <v>22416</v>
      </c>
      <c r="F3">
        <v>21504</v>
      </c>
    </row>
    <row r="4" spans="1:6" x14ac:dyDescent="0.35">
      <c r="A4" t="s">
        <v>15</v>
      </c>
      <c r="B4">
        <v>35088</v>
      </c>
      <c r="C4">
        <v>34894</v>
      </c>
      <c r="D4">
        <v>32979</v>
      </c>
      <c r="E4">
        <v>33280</v>
      </c>
      <c r="F4">
        <v>32743</v>
      </c>
    </row>
    <row r="5" spans="1:6" x14ac:dyDescent="0.35">
      <c r="A5" t="s">
        <v>16</v>
      </c>
      <c r="B5">
        <v>13672</v>
      </c>
      <c r="C5">
        <v>14553</v>
      </c>
      <c r="D5">
        <v>13379</v>
      </c>
      <c r="E5">
        <v>13951</v>
      </c>
      <c r="F5">
        <v>13177</v>
      </c>
    </row>
    <row r="6" spans="1:6" x14ac:dyDescent="0.35">
      <c r="A6" t="s">
        <v>17</v>
      </c>
      <c r="B6">
        <v>15311</v>
      </c>
      <c r="C6">
        <v>14711</v>
      </c>
      <c r="D6">
        <v>14449</v>
      </c>
      <c r="E6">
        <v>13694</v>
      </c>
      <c r="F6">
        <v>13249</v>
      </c>
    </row>
    <row r="7" spans="1:6" x14ac:dyDescent="0.35">
      <c r="A7" t="s">
        <v>18</v>
      </c>
      <c r="B7">
        <v>31484</v>
      </c>
      <c r="C7">
        <v>30351</v>
      </c>
      <c r="D7">
        <v>28980</v>
      </c>
      <c r="E7">
        <v>30249</v>
      </c>
      <c r="F7">
        <v>28738</v>
      </c>
    </row>
    <row r="8" spans="1:6" x14ac:dyDescent="0.35">
      <c r="A8" t="s">
        <v>19</v>
      </c>
      <c r="B8">
        <v>30894</v>
      </c>
      <c r="C8">
        <v>28056</v>
      </c>
      <c r="D8">
        <v>28521</v>
      </c>
      <c r="E8">
        <v>27612</v>
      </c>
      <c r="F8">
        <v>27964</v>
      </c>
    </row>
    <row r="9" spans="1:6" x14ac:dyDescent="0.35">
      <c r="A9" t="s">
        <v>20</v>
      </c>
    </row>
    <row r="10" spans="1:6" x14ac:dyDescent="0.35">
      <c r="A10" t="s">
        <v>21</v>
      </c>
    </row>
    <row r="11" spans="1:6" x14ac:dyDescent="0.35">
      <c r="A11" t="s">
        <v>22</v>
      </c>
    </row>
    <row r="12" spans="1:6" x14ac:dyDescent="0.35">
      <c r="A12" t="s">
        <v>23</v>
      </c>
    </row>
    <row r="13" spans="1:6" x14ac:dyDescent="0.35">
      <c r="A13" t="s">
        <v>24</v>
      </c>
    </row>
    <row r="14" spans="1:6" x14ac:dyDescent="0.35">
      <c r="A14" t="s">
        <v>25</v>
      </c>
    </row>
    <row r="15" spans="1:6" x14ac:dyDescent="0.35">
      <c r="A15" t="s">
        <v>26</v>
      </c>
    </row>
    <row r="16" spans="1:6" x14ac:dyDescent="0.35">
      <c r="A16" t="s">
        <v>27</v>
      </c>
    </row>
    <row r="17" spans="1:6" x14ac:dyDescent="0.35">
      <c r="A17" t="s">
        <v>28</v>
      </c>
    </row>
    <row r="18" spans="1:6" x14ac:dyDescent="0.35">
      <c r="A18" t="s">
        <v>29</v>
      </c>
    </row>
    <row r="19" spans="1:6" x14ac:dyDescent="0.35">
      <c r="A19" t="s">
        <v>30</v>
      </c>
    </row>
    <row r="20" spans="1:6" x14ac:dyDescent="0.35">
      <c r="A20" t="s">
        <v>31</v>
      </c>
    </row>
    <row r="21" spans="1:6" x14ac:dyDescent="0.35">
      <c r="A21" t="s">
        <v>32</v>
      </c>
    </row>
    <row r="22" spans="1:6" x14ac:dyDescent="0.35">
      <c r="B22" s="3">
        <f>AVERAGE(Tabla1[Costo Total Simple])</f>
        <v>25637</v>
      </c>
      <c r="C22" s="3">
        <f>AVERAGE(Tabla1[Costo Total Clusterizado])</f>
        <v>25136</v>
      </c>
      <c r="D22" s="3">
        <f>AVERAGE(Tabla1[Costo total Rollout Simple])</f>
        <v>23992.142857142859</v>
      </c>
      <c r="E22" s="3">
        <f>AVERAGE(Tabla1[Costo total RollOut Clusterizado])</f>
        <v>23921</v>
      </c>
      <c r="F22" s="3">
        <f>AVERAGE(Tabla1[Costo MC])</f>
        <v>23532.142857142859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Matías Fernández Mayol</cp:lastModifiedBy>
  <dcterms:created xsi:type="dcterms:W3CDTF">2025-04-03T14:19:25Z</dcterms:created>
  <dcterms:modified xsi:type="dcterms:W3CDTF">2025-05-16T21:25:11Z</dcterms:modified>
</cp:coreProperties>
</file>