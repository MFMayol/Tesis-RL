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alumnosuaicl-my.sharepoint.com/personal/matia_fernandez_alumnos_uai_cl/Documents/Industrial/Magister/Codigos/TesisDefinitivo/TesisFinal/"/>
    </mc:Choice>
  </mc:AlternateContent>
  <xr:revisionPtr revIDLastSave="106" documentId="11_2B59D2BFD3C0DD17B3593411599C38714665F9C0" xr6:coauthVersionLast="47" xr6:coauthVersionMax="47" xr10:uidLastSave="{820600C9-CA81-4EF4-88B6-5B41A43C16DD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Sheet1!$B$2:$B$21</definedName>
    <definedName name="_xlchart.v1.10" hidden="1">Sheet1!$G$1</definedName>
    <definedName name="_xlchart.v1.11" hidden="1">Sheet1!$G$2:$G$21</definedName>
    <definedName name="_xlchart.v1.12" hidden="1">Sheet1!$I$1</definedName>
    <definedName name="_xlchart.v1.13" hidden="1">Sheet1!$I$2:$I$21</definedName>
    <definedName name="_xlchart.v1.14" hidden="1">Sheet1!$J$1</definedName>
    <definedName name="_xlchart.v1.15" hidden="1">Sheet1!$J$2:$J$21</definedName>
    <definedName name="_xlchart.v1.16" hidden="1">Sheet1!$K$1</definedName>
    <definedName name="_xlchart.v1.17" hidden="1">Sheet1!$K$2:$K$21</definedName>
    <definedName name="_xlchart.v1.18" hidden="1">Sheet1!$L$1</definedName>
    <definedName name="_xlchart.v1.19" hidden="1">Sheet1!$L$2:$L$21</definedName>
    <definedName name="_xlchart.v1.2" hidden="1">Sheet1!$C$1</definedName>
    <definedName name="_xlchart.v1.20" hidden="1">Sheet1!$M$1</definedName>
    <definedName name="_xlchart.v1.21" hidden="1">Sheet1!$M$2:$M$21</definedName>
    <definedName name="_xlchart.v1.3" hidden="1">Sheet1!$C$2:$C$21</definedName>
    <definedName name="_xlchart.v1.4" hidden="1">Sheet1!$D$1</definedName>
    <definedName name="_xlchart.v1.5" hidden="1">Sheet1!$D$2:$D$21</definedName>
    <definedName name="_xlchart.v1.6" hidden="1">Sheet1!$E$1</definedName>
    <definedName name="_xlchart.v1.7" hidden="1">Sheet1!$E$2:$E$21</definedName>
    <definedName name="_xlchart.v1.8" hidden="1">Sheet1!$F$1</definedName>
    <definedName name="_xlchart.v1.9" hidden="1">Sheet1!$F$2:$F$21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J21" i="1" s="1"/>
  <c r="H2" i="1"/>
  <c r="J2" i="1" s="1"/>
  <c r="H12" i="1"/>
  <c r="K12" i="1" s="1"/>
  <c r="J12" i="1"/>
  <c r="H13" i="1"/>
  <c r="J13" i="1" s="1"/>
  <c r="H14" i="1"/>
  <c r="K14" i="1" s="1"/>
  <c r="I14" i="1"/>
  <c r="J14" i="1"/>
  <c r="H15" i="1"/>
  <c r="J15" i="1" s="1"/>
  <c r="I15" i="1"/>
  <c r="M15" i="1"/>
  <c r="H16" i="1"/>
  <c r="K16" i="1" s="1"/>
  <c r="I16" i="1"/>
  <c r="J16" i="1"/>
  <c r="H17" i="1"/>
  <c r="J17" i="1" s="1"/>
  <c r="H18" i="1"/>
  <c r="K18" i="1" s="1"/>
  <c r="I18" i="1"/>
  <c r="H19" i="1"/>
  <c r="J19" i="1" s="1"/>
  <c r="I19" i="1"/>
  <c r="M19" i="1"/>
  <c r="H20" i="1"/>
  <c r="K20" i="1" s="1"/>
  <c r="I20" i="1"/>
  <c r="J20" i="1"/>
  <c r="N2" i="1"/>
  <c r="L8" i="1"/>
  <c r="J8" i="1"/>
  <c r="J11" i="1"/>
  <c r="H3" i="1"/>
  <c r="M3" i="1" s="1"/>
  <c r="H4" i="1"/>
  <c r="K4" i="1" s="1"/>
  <c r="H5" i="1"/>
  <c r="N5" i="1" s="1"/>
  <c r="H6" i="1"/>
  <c r="N6" i="1" s="1"/>
  <c r="H7" i="1"/>
  <c r="M7" i="1" s="1"/>
  <c r="H8" i="1"/>
  <c r="K8" i="1" s="1"/>
  <c r="H9" i="1"/>
  <c r="M9" i="1" s="1"/>
  <c r="H10" i="1"/>
  <c r="J10" i="1" s="1"/>
  <c r="H11" i="1"/>
  <c r="M11" i="1" s="1"/>
  <c r="I2" i="1" l="1"/>
  <c r="I11" i="1"/>
  <c r="K11" i="1"/>
  <c r="L11" i="1"/>
  <c r="I8" i="1"/>
  <c r="L9" i="1"/>
  <c r="I3" i="1"/>
  <c r="K9" i="1"/>
  <c r="J18" i="1"/>
  <c r="J9" i="1"/>
  <c r="M21" i="1"/>
  <c r="M17" i="1"/>
  <c r="M13" i="1"/>
  <c r="I21" i="1"/>
  <c r="I17" i="1"/>
  <c r="I13" i="1"/>
  <c r="L2" i="1"/>
  <c r="K2" i="1"/>
  <c r="M2" i="1"/>
  <c r="I12" i="1"/>
  <c r="L21" i="1"/>
  <c r="L19" i="1"/>
  <c r="L17" i="1"/>
  <c r="L15" i="1"/>
  <c r="L13" i="1"/>
  <c r="K21" i="1"/>
  <c r="K19" i="1"/>
  <c r="K17" i="1"/>
  <c r="K15" i="1"/>
  <c r="K13" i="1"/>
  <c r="M20" i="1"/>
  <c r="M18" i="1"/>
  <c r="M16" i="1"/>
  <c r="M14" i="1"/>
  <c r="M12" i="1"/>
  <c r="L20" i="1"/>
  <c r="L18" i="1"/>
  <c r="L16" i="1"/>
  <c r="L14" i="1"/>
  <c r="L12" i="1"/>
  <c r="L7" i="1"/>
  <c r="L3" i="1"/>
  <c r="L4" i="1"/>
  <c r="I10" i="1"/>
  <c r="K3" i="1"/>
  <c r="K7" i="1"/>
  <c r="I9" i="1"/>
  <c r="J7" i="1"/>
  <c r="M10" i="1"/>
  <c r="M6" i="1"/>
  <c r="N11" i="1"/>
  <c r="J6" i="1"/>
  <c r="L10" i="1"/>
  <c r="L6" i="1"/>
  <c r="N10" i="1"/>
  <c r="I7" i="1"/>
  <c r="J5" i="1"/>
  <c r="K10" i="1"/>
  <c r="K6" i="1"/>
  <c r="N9" i="1"/>
  <c r="I6" i="1"/>
  <c r="J4" i="1"/>
  <c r="M5" i="1"/>
  <c r="N8" i="1"/>
  <c r="I4" i="1"/>
  <c r="K5" i="1"/>
  <c r="I5" i="1"/>
  <c r="J3" i="1"/>
  <c r="L5" i="1"/>
  <c r="N7" i="1"/>
  <c r="M8" i="1"/>
  <c r="M4" i="1"/>
  <c r="N4" i="1"/>
  <c r="N3" i="1"/>
</calcChain>
</file>

<file path=xl/sharedStrings.xml><?xml version="1.0" encoding="utf-8"?>
<sst xmlns="http://schemas.openxmlformats.org/spreadsheetml/2006/main" count="17" uniqueCount="17">
  <si>
    <t>Instancia</t>
  </si>
  <si>
    <t>FO S</t>
  </si>
  <si>
    <t>FO C</t>
  </si>
  <si>
    <t>RO S</t>
  </si>
  <si>
    <t>RO C</t>
  </si>
  <si>
    <t>FO MC</t>
  </si>
  <si>
    <t>FO MC fourier</t>
  </si>
  <si>
    <t>BEST</t>
  </si>
  <si>
    <t>GAP S</t>
  </si>
  <si>
    <t>GAP C</t>
  </si>
  <si>
    <t>GAP RO S</t>
  </si>
  <si>
    <t>GAP RO C</t>
  </si>
  <si>
    <t>GAP MC</t>
  </si>
  <si>
    <t>R + gamma * FUTURO</t>
  </si>
  <si>
    <t>R + GAMMA * FUTURO GORRO</t>
  </si>
  <si>
    <t>MC</t>
  </si>
  <si>
    <t>Q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</si>
</sst>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</cx:chartData>
  <cx:chart>
    <cx:title pos="t" align="ctr" overlay="0">
      <cx:tx>
        <cx:txData>
          <cx:v>Costos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Costos</a:t>
          </a:r>
        </a:p>
      </cx:txPr>
    </cx:title>
    <cx:plotArea>
      <cx:plotAreaRegion>
        <cx:series layoutId="boxWhisker" uniqueId="{997427C9-1FE3-4CE1-A466-483CF15C1AF6}">
          <cx:tx>
            <cx:txData>
              <cx:f>_xlchart.v1.0</cx:f>
              <cx:v>FO S</cx:v>
            </cx:txData>
          </cx:tx>
          <cx:dataId val="0"/>
          <cx:layoutPr>
            <cx:statistics quartileMethod="exclusive"/>
          </cx:layoutPr>
        </cx:series>
        <cx:series layoutId="boxWhisker" uniqueId="{FEC01685-6E52-4FD6-80BA-264E7479F083}">
          <cx:tx>
            <cx:txData>
              <cx:f>_xlchart.v1.2</cx:f>
              <cx:v>FO C</cx:v>
            </cx:txData>
          </cx:tx>
          <cx:dataId val="1"/>
          <cx:layoutPr>
            <cx:statistics quartileMethod="exclusive"/>
          </cx:layoutPr>
        </cx:series>
        <cx:series layoutId="boxWhisker" uniqueId="{CA60A9AB-5E21-45E7-AFC0-98DAB8B4213D}">
          <cx:tx>
            <cx:txData>
              <cx:f>_xlchart.v1.4</cx:f>
              <cx:v>RO S</cx:v>
            </cx:txData>
          </cx:tx>
          <cx:dataId val="2"/>
          <cx:layoutPr>
            <cx:statistics quartileMethod="exclusive"/>
          </cx:layoutPr>
        </cx:series>
        <cx:series layoutId="boxWhisker" uniqueId="{989C7B1A-3628-4690-AD7F-D779DB753728}">
          <cx:tx>
            <cx:txData>
              <cx:f>_xlchart.v1.6</cx:f>
              <cx:v>RO C</cx:v>
            </cx:txData>
          </cx:tx>
          <cx:dataId val="3"/>
          <cx:layoutPr>
            <cx:statistics quartileMethod="exclusive"/>
          </cx:layoutPr>
        </cx:series>
        <cx:series layoutId="boxWhisker" uniqueId="{AE34AAF1-A5CB-4097-B83E-09B78335799E}">
          <cx:tx>
            <cx:txData>
              <cx:f>_xlchart.v1.8</cx:f>
              <cx:v>FO MC</cx:v>
            </cx:txData>
          </cx:tx>
          <cx:dataId val="4"/>
          <cx:layoutPr>
            <cx:statistics quartileMethod="exclusive"/>
          </cx:layoutPr>
        </cx:series>
        <cx:series layoutId="boxWhisker" uniqueId="{8EF89C6A-62B5-4878-BF88-DF3124283D40}">
          <cx:tx>
            <cx:txData>
              <cx:f>_xlchart.v1.10</cx:f>
              <cx:v>FO MC fourier</cx:v>
            </cx:txData>
          </cx:tx>
          <cx:dataId val="5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300000"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  <cx:data id="3">
      <cx:numDim type="val">
        <cx:f>_xlchart.v1.19</cx:f>
      </cx:numDim>
    </cx:data>
    <cx:data id="4">
      <cx:numDim type="val">
        <cx:f>_xlchart.v1.21</cx:f>
      </cx:numDim>
    </cx:data>
  </cx:chartData>
  <cx:chart>
    <cx:title pos="t" align="ctr" overlay="0">
      <cx:tx>
        <cx:txData>
          <cx:v>GAP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GAP</a:t>
          </a:r>
        </a:p>
      </cx:txPr>
    </cx:title>
    <cx:plotArea>
      <cx:plotAreaRegion>
        <cx:series layoutId="boxWhisker" uniqueId="{67016F75-327E-45DC-8601-9DAA135E8C63}">
          <cx:tx>
            <cx:txData>
              <cx:f>_xlchart.v1.12</cx:f>
              <cx:v>GAP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8D491A0-DB8E-4E5F-B27F-743BA72D35A7}">
          <cx:tx>
            <cx:txData>
              <cx:f>_xlchart.v1.14</cx:f>
              <cx:v>GAP 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AF65F49-4488-4786-A988-AE59DDBB47B4}">
          <cx:tx>
            <cx:txData>
              <cx:f>_xlchart.v1.16</cx:f>
              <cx:v>GAP RO 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D62A730-6C8F-4236-8029-595AD266E089}">
          <cx:tx>
            <cx:txData>
              <cx:f>_xlchart.v1.18</cx:f>
              <cx:v>GAP RO C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41417DE-A9BA-464B-A593-99F1D11E13D7}">
          <cx:tx>
            <cx:txData>
              <cx:f>_xlchart.v1.20</cx:f>
              <cx:v>GAP MC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601266</xdr:colOff>
      <xdr:row>0</xdr:row>
      <xdr:rowOff>20241</xdr:rowOff>
    </xdr:from>
    <xdr:to>
      <xdr:col>22</xdr:col>
      <xdr:colOff>589361</xdr:colOff>
      <xdr:row>18</xdr:row>
      <xdr:rowOff>166686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51D4EDF0-D2A6-147C-B166-611B042F34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25188" y="20241"/>
              <a:ext cx="4238626" cy="34682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23</xdr:col>
      <xdr:colOff>60169</xdr:colOff>
      <xdr:row>0</xdr:row>
      <xdr:rowOff>41564</xdr:rowOff>
    </xdr:from>
    <xdr:to>
      <xdr:col>31</xdr:col>
      <xdr:colOff>44929</xdr:colOff>
      <xdr:row>20</xdr:row>
      <xdr:rowOff>94013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100F64A-197E-6324-B08D-B13DD6491A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83989" y="41564"/>
              <a:ext cx="4861560" cy="3710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1"/>
  <sheetViews>
    <sheetView tabSelected="1" topLeftCell="M1" zoomScale="128" workbookViewId="0">
      <selection activeCell="T21" sqref="T21"/>
    </sheetView>
  </sheetViews>
  <sheetFormatPr baseColWidth="10" defaultColWidth="8.88671875" defaultRowHeight="14.4" x14ac:dyDescent="0.3"/>
  <cols>
    <col min="1" max="1" width="8.5546875" bestFit="1" customWidth="1"/>
    <col min="2" max="6" width="12" bestFit="1" customWidth="1"/>
    <col min="7" max="7" width="12.66406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36" x14ac:dyDescent="0.3">
      <c r="A2">
        <v>1</v>
      </c>
      <c r="B2">
        <v>529839.936128075</v>
      </c>
      <c r="C2">
        <v>736046.02989956876</v>
      </c>
      <c r="D2">
        <v>482387.12081999728</v>
      </c>
      <c r="E2">
        <v>496966.24628598499</v>
      </c>
      <c r="F2">
        <v>381727.44066598598</v>
      </c>
      <c r="G2">
        <v>337833.71220243367</v>
      </c>
      <c r="H2">
        <f t="shared" ref="H2:H21" si="0">MIN(B2:G2)</f>
        <v>337833.71220243367</v>
      </c>
      <c r="I2" s="3">
        <f t="shared" ref="I2:I11" si="1" xml:space="preserve"> (B2-$H2)/$H2</f>
        <v>0.56834536338572716</v>
      </c>
      <c r="J2" s="3">
        <f t="shared" ref="J2:J11" si="2" xml:space="preserve"> (C2-$H2)/$H2</f>
        <v>1.1787228548065147</v>
      </c>
      <c r="K2" s="3">
        <f t="shared" ref="K2:K11" si="3" xml:space="preserve"> (D2-$H2)/$H2</f>
        <v>0.42788331476802294</v>
      </c>
      <c r="L2" s="3">
        <f t="shared" ref="L2:L11" si="4" xml:space="preserve"> (E2-$H2)/$H2</f>
        <v>0.47103805314786751</v>
      </c>
      <c r="M2" s="3">
        <f t="shared" ref="M2:M11" si="5" xml:space="preserve"> (F2-$H2)/$H2</f>
        <v>0.12992702290543079</v>
      </c>
      <c r="N2">
        <f t="shared" ref="N2:N11" si="6" xml:space="preserve"> (G2-$H2)/$H2</f>
        <v>0</v>
      </c>
    </row>
    <row r="3" spans="1:36" x14ac:dyDescent="0.3">
      <c r="A3">
        <v>2</v>
      </c>
      <c r="B3">
        <v>548662.71246639837</v>
      </c>
      <c r="C3">
        <v>601091.84880201658</v>
      </c>
      <c r="D3">
        <v>538313.73778441688</v>
      </c>
      <c r="E3">
        <v>527207.70217416738</v>
      </c>
      <c r="F3">
        <v>427168.07398959273</v>
      </c>
      <c r="G3">
        <v>375752.57599975361</v>
      </c>
      <c r="H3">
        <f t="shared" si="0"/>
        <v>375752.57599975361</v>
      </c>
      <c r="I3" s="3">
        <f t="shared" si="1"/>
        <v>0.46017019579064217</v>
      </c>
      <c r="J3" s="3">
        <f t="shared" si="2"/>
        <v>0.59970120551458506</v>
      </c>
      <c r="K3" s="3">
        <f t="shared" si="3"/>
        <v>0.43262820315241129</v>
      </c>
      <c r="L3" s="3">
        <f t="shared" si="4"/>
        <v>0.40307142478382657</v>
      </c>
      <c r="M3" s="3">
        <f t="shared" si="5"/>
        <v>0.13683338790968883</v>
      </c>
      <c r="N3">
        <f t="shared" si="6"/>
        <v>0</v>
      </c>
      <c r="AG3" t="s">
        <v>15</v>
      </c>
      <c r="AJ3" t="s">
        <v>16</v>
      </c>
    </row>
    <row r="4" spans="1:36" x14ac:dyDescent="0.3">
      <c r="A4">
        <v>3</v>
      </c>
      <c r="B4">
        <v>572819.49333067343</v>
      </c>
      <c r="C4">
        <v>651770.5885839106</v>
      </c>
      <c r="D4">
        <v>523387.48322028719</v>
      </c>
      <c r="E4">
        <v>487822.79707386112</v>
      </c>
      <c r="F4">
        <v>414640.22559298639</v>
      </c>
      <c r="G4">
        <v>373434.99368074891</v>
      </c>
      <c r="H4">
        <f t="shared" si="0"/>
        <v>373434.99368074891</v>
      </c>
      <c r="I4" s="3">
        <f t="shared" si="1"/>
        <v>0.53392023517854659</v>
      </c>
      <c r="J4" s="3">
        <f t="shared" si="2"/>
        <v>0.74533881294775473</v>
      </c>
      <c r="K4" s="3">
        <f t="shared" si="3"/>
        <v>0.40154911049319941</v>
      </c>
      <c r="L4" s="3">
        <f t="shared" si="4"/>
        <v>0.30631249167533237</v>
      </c>
      <c r="M4" s="3">
        <f t="shared" si="5"/>
        <v>0.11034111052662621</v>
      </c>
      <c r="N4">
        <f t="shared" si="6"/>
        <v>0</v>
      </c>
    </row>
    <row r="5" spans="1:36" x14ac:dyDescent="0.3">
      <c r="A5">
        <v>4</v>
      </c>
      <c r="B5">
        <v>647200.71724129887</v>
      </c>
      <c r="C5">
        <v>612271.15946884314</v>
      </c>
      <c r="D5">
        <v>589814.43071461341</v>
      </c>
      <c r="E5">
        <v>549282.12185302214</v>
      </c>
      <c r="F5">
        <v>478928.91955912882</v>
      </c>
      <c r="G5">
        <v>388445.17281692778</v>
      </c>
      <c r="H5">
        <f t="shared" si="0"/>
        <v>388445.17281692778</v>
      </c>
      <c r="I5" s="3">
        <f t="shared" si="1"/>
        <v>0.66613144539273572</v>
      </c>
      <c r="J5" s="3">
        <f t="shared" si="2"/>
        <v>0.57620998358345776</v>
      </c>
      <c r="K5" s="3">
        <f t="shared" si="3"/>
        <v>0.51839814725304856</v>
      </c>
      <c r="L5" s="3">
        <f t="shared" si="4"/>
        <v>0.41405315419351596</v>
      </c>
      <c r="M5" s="3">
        <f t="shared" si="5"/>
        <v>0.23293827050554072</v>
      </c>
      <c r="N5">
        <f t="shared" si="6"/>
        <v>0</v>
      </c>
      <c r="AG5" t="s">
        <v>13</v>
      </c>
      <c r="AJ5" t="s">
        <v>14</v>
      </c>
    </row>
    <row r="6" spans="1:36" x14ac:dyDescent="0.3">
      <c r="A6">
        <v>5</v>
      </c>
      <c r="B6">
        <v>652224.77615117829</v>
      </c>
      <c r="C6">
        <v>594531.1786539366</v>
      </c>
      <c r="D6">
        <v>590833.38988158968</v>
      </c>
      <c r="E6">
        <v>560956.17106846417</v>
      </c>
      <c r="F6">
        <v>485674.02247851313</v>
      </c>
      <c r="G6">
        <v>398853.94246249879</v>
      </c>
      <c r="H6">
        <f t="shared" si="0"/>
        <v>398853.94246249879</v>
      </c>
      <c r="I6" s="3">
        <f t="shared" si="1"/>
        <v>0.63524715870773185</v>
      </c>
      <c r="J6" s="3">
        <f t="shared" si="2"/>
        <v>0.49059872639929053</v>
      </c>
      <c r="K6" s="3">
        <f t="shared" si="3"/>
        <v>0.48132769162020073</v>
      </c>
      <c r="L6" s="3">
        <f t="shared" si="4"/>
        <v>0.406420023342772</v>
      </c>
      <c r="M6" s="3">
        <f t="shared" si="5"/>
        <v>0.21767386697995939</v>
      </c>
      <c r="N6">
        <f t="shared" si="6"/>
        <v>0</v>
      </c>
    </row>
    <row r="7" spans="1:36" x14ac:dyDescent="0.3">
      <c r="A7">
        <v>6</v>
      </c>
      <c r="B7">
        <v>521267.14629699523</v>
      </c>
      <c r="C7">
        <v>699817.5220179176</v>
      </c>
      <c r="D7">
        <v>489400.99906349642</v>
      </c>
      <c r="E7">
        <v>493417.51526128262</v>
      </c>
      <c r="F7">
        <v>392220.47268351668</v>
      </c>
      <c r="G7">
        <v>346128.2378543028</v>
      </c>
      <c r="H7">
        <f t="shared" si="0"/>
        <v>346128.2378543028</v>
      </c>
      <c r="I7" s="3">
        <f t="shared" si="1"/>
        <v>0.50599427983224632</v>
      </c>
      <c r="J7" s="3">
        <f t="shared" si="2"/>
        <v>1.0218446387274958</v>
      </c>
      <c r="K7" s="3">
        <f t="shared" si="3"/>
        <v>0.4139297102639225</v>
      </c>
      <c r="L7" s="3">
        <f t="shared" si="4"/>
        <v>0.42553383774767001</v>
      </c>
      <c r="M7" s="3">
        <f t="shared" si="5"/>
        <v>0.13316519656109557</v>
      </c>
      <c r="N7">
        <f t="shared" si="6"/>
        <v>0</v>
      </c>
    </row>
    <row r="8" spans="1:36" x14ac:dyDescent="0.3">
      <c r="A8">
        <v>7</v>
      </c>
      <c r="B8">
        <v>548271.03851265856</v>
      </c>
      <c r="C8">
        <v>838409.96006688371</v>
      </c>
      <c r="D8">
        <v>510762.07862686279</v>
      </c>
      <c r="E8">
        <v>507814.88581554638</v>
      </c>
      <c r="F8">
        <v>406784.20889807359</v>
      </c>
      <c r="G8">
        <v>329363.87005155161</v>
      </c>
      <c r="H8">
        <f t="shared" si="0"/>
        <v>329363.87005155161</v>
      </c>
      <c r="I8" s="3">
        <f t="shared" si="1"/>
        <v>0.66463625298926654</v>
      </c>
      <c r="J8" s="3">
        <f t="shared" si="2"/>
        <v>1.5455432010064032</v>
      </c>
      <c r="K8" s="3">
        <f t="shared" si="3"/>
        <v>0.55075320965508134</v>
      </c>
      <c r="L8" s="3">
        <f t="shared" si="4"/>
        <v>0.54180507332532812</v>
      </c>
      <c r="M8" s="3">
        <f t="shared" si="5"/>
        <v>0.23506020509901177</v>
      </c>
      <c r="N8">
        <f t="shared" si="6"/>
        <v>0</v>
      </c>
    </row>
    <row r="9" spans="1:36" x14ac:dyDescent="0.3">
      <c r="A9">
        <v>8</v>
      </c>
      <c r="B9">
        <v>506847.02179194067</v>
      </c>
      <c r="C9">
        <v>599972.79606645799</v>
      </c>
      <c r="D9">
        <v>500644.54167269758</v>
      </c>
      <c r="E9">
        <v>504379.73770899122</v>
      </c>
      <c r="F9">
        <v>387857.60827708378</v>
      </c>
      <c r="G9">
        <v>345559.13666973601</v>
      </c>
      <c r="H9">
        <f t="shared" si="0"/>
        <v>345559.13666973601</v>
      </c>
      <c r="I9" s="3">
        <f t="shared" si="1"/>
        <v>0.46674466974477258</v>
      </c>
      <c r="J9" s="3">
        <f t="shared" si="2"/>
        <v>0.7362376866911633</v>
      </c>
      <c r="K9" s="3">
        <f t="shared" si="3"/>
        <v>0.44879555637732299</v>
      </c>
      <c r="L9" s="3">
        <f t="shared" si="4"/>
        <v>0.45960469333804965</v>
      </c>
      <c r="M9" s="3">
        <f t="shared" si="5"/>
        <v>0.12240588402607926</v>
      </c>
      <c r="N9">
        <f t="shared" si="6"/>
        <v>0</v>
      </c>
    </row>
    <row r="10" spans="1:36" x14ac:dyDescent="0.3">
      <c r="A10">
        <v>9</v>
      </c>
      <c r="B10">
        <v>450569.0029683985</v>
      </c>
      <c r="C10">
        <v>448603.56813289068</v>
      </c>
      <c r="D10">
        <v>440996.59605241509</v>
      </c>
      <c r="E10">
        <v>371836.61357238202</v>
      </c>
      <c r="F10">
        <v>340084.44113882678</v>
      </c>
      <c r="G10">
        <v>306206.8022199524</v>
      </c>
      <c r="H10">
        <f t="shared" si="0"/>
        <v>306206.8022199524</v>
      </c>
      <c r="I10" s="3">
        <f t="shared" si="1"/>
        <v>0.47145327831335643</v>
      </c>
      <c r="J10" s="3">
        <f t="shared" si="2"/>
        <v>0.46503462653534655</v>
      </c>
      <c r="K10" s="3">
        <f t="shared" si="3"/>
        <v>0.4401920298806471</v>
      </c>
      <c r="L10" s="3">
        <f t="shared" si="4"/>
        <v>0.21433165715661293</v>
      </c>
      <c r="M10" s="3">
        <f t="shared" si="5"/>
        <v>0.11063646748950934</v>
      </c>
      <c r="N10">
        <f t="shared" si="6"/>
        <v>0</v>
      </c>
    </row>
    <row r="11" spans="1:36" x14ac:dyDescent="0.3">
      <c r="A11">
        <v>10</v>
      </c>
      <c r="B11">
        <v>502286.57496292022</v>
      </c>
      <c r="C11">
        <v>695877.68220472778</v>
      </c>
      <c r="D11">
        <v>463319.08203600481</v>
      </c>
      <c r="E11">
        <v>456048.3866796465</v>
      </c>
      <c r="F11">
        <v>378481.39828142338</v>
      </c>
      <c r="G11">
        <v>339080.42362693063</v>
      </c>
      <c r="H11">
        <f t="shared" si="0"/>
        <v>339080.42362693063</v>
      </c>
      <c r="I11" s="3">
        <f t="shared" si="1"/>
        <v>0.48131988744816273</v>
      </c>
      <c r="J11" s="3">
        <f t="shared" si="2"/>
        <v>1.0522496544075315</v>
      </c>
      <c r="K11" s="3">
        <f t="shared" si="3"/>
        <v>0.36639879436321088</v>
      </c>
      <c r="L11" s="3">
        <f t="shared" si="4"/>
        <v>0.34495640238260566</v>
      </c>
      <c r="M11" s="3">
        <f t="shared" si="5"/>
        <v>0.11619949696017609</v>
      </c>
      <c r="N11">
        <f t="shared" si="6"/>
        <v>0</v>
      </c>
    </row>
    <row r="12" spans="1:36" x14ac:dyDescent="0.3">
      <c r="A12">
        <v>11</v>
      </c>
      <c r="B12">
        <v>516498.66314366221</v>
      </c>
      <c r="C12">
        <v>607808.64491752826</v>
      </c>
      <c r="D12">
        <v>465013.28560242092</v>
      </c>
      <c r="E12">
        <v>499495.64023729519</v>
      </c>
      <c r="F12">
        <v>406014.09573445271</v>
      </c>
      <c r="G12">
        <v>328880.88627235591</v>
      </c>
      <c r="H12">
        <f t="shared" si="0"/>
        <v>328880.88627235591</v>
      </c>
      <c r="I12" s="3">
        <f t="shared" ref="I12:I21" si="7" xml:space="preserve"> (B12-$H12)/$H12</f>
        <v>0.57047333762027908</v>
      </c>
      <c r="J12" s="3">
        <f t="shared" ref="J12:J21" si="8" xml:space="preserve"> (C12-$H12)/$H12</f>
        <v>0.84811179453640884</v>
      </c>
      <c r="K12" s="3">
        <f t="shared" ref="K12:K21" si="9" xml:space="preserve"> (D12-$H12)/$H12</f>
        <v>0.413926150811117</v>
      </c>
      <c r="L12" s="3">
        <f t="shared" ref="L12:L21" si="10" xml:space="preserve"> (E12-$H12)/$H12</f>
        <v>0.51877369919165262</v>
      </c>
      <c r="M12" s="3">
        <f t="shared" ref="M12:M21" si="11" xml:space="preserve"> (F12-$H12)/$H12</f>
        <v>0.23453235709849227</v>
      </c>
    </row>
    <row r="13" spans="1:36" x14ac:dyDescent="0.3">
      <c r="A13">
        <v>12</v>
      </c>
      <c r="B13">
        <v>502336.8210620241</v>
      </c>
      <c r="C13">
        <v>734942.07277860178</v>
      </c>
      <c r="D13">
        <v>484429.93735221721</v>
      </c>
      <c r="E13">
        <v>527848.77396464173</v>
      </c>
      <c r="F13">
        <v>397376.72803936357</v>
      </c>
      <c r="G13">
        <v>339218.33934523421</v>
      </c>
      <c r="H13">
        <f t="shared" si="0"/>
        <v>339218.33934523421</v>
      </c>
      <c r="I13" s="3">
        <f t="shared" si="7"/>
        <v>0.48086575163254536</v>
      </c>
      <c r="J13" s="3">
        <f t="shared" si="8"/>
        <v>1.1665752924715131</v>
      </c>
      <c r="K13" s="3">
        <f t="shared" si="9"/>
        <v>0.4280770853582776</v>
      </c>
      <c r="L13" s="3">
        <f t="shared" si="10"/>
        <v>0.5560738107011125</v>
      </c>
      <c r="M13" s="3">
        <f t="shared" si="11"/>
        <v>0.17144824423817356</v>
      </c>
    </row>
    <row r="14" spans="1:36" x14ac:dyDescent="0.3">
      <c r="A14">
        <v>13</v>
      </c>
      <c r="B14">
        <v>474750.50588686601</v>
      </c>
      <c r="C14">
        <v>1163393.3606084471</v>
      </c>
      <c r="D14">
        <v>455721.5735578615</v>
      </c>
      <c r="E14">
        <v>536865.94776734756</v>
      </c>
      <c r="F14">
        <v>405565.62841990549</v>
      </c>
      <c r="G14">
        <v>320739.22366278822</v>
      </c>
      <c r="H14">
        <f t="shared" si="0"/>
        <v>320739.22366278822</v>
      </c>
      <c r="I14" s="3">
        <f t="shared" si="7"/>
        <v>0.4801760148487445</v>
      </c>
      <c r="J14" s="3">
        <f t="shared" si="8"/>
        <v>2.6272250937153543</v>
      </c>
      <c r="K14" s="3">
        <f t="shared" si="9"/>
        <v>0.42084765422076365</v>
      </c>
      <c r="L14" s="3">
        <f t="shared" si="10"/>
        <v>0.67383939399873938</v>
      </c>
      <c r="M14" s="3">
        <f t="shared" si="11"/>
        <v>0.26447156599187943</v>
      </c>
    </row>
    <row r="15" spans="1:36" x14ac:dyDescent="0.3">
      <c r="A15">
        <v>14</v>
      </c>
      <c r="B15">
        <v>354387.82056224078</v>
      </c>
      <c r="C15">
        <v>608815.77851712285</v>
      </c>
      <c r="D15">
        <v>329023.71715227119</v>
      </c>
      <c r="E15">
        <v>376319.36409219808</v>
      </c>
      <c r="F15">
        <v>288421.61314817448</v>
      </c>
      <c r="G15">
        <v>259217.30482036539</v>
      </c>
      <c r="H15">
        <f t="shared" si="0"/>
        <v>259217.30482036539</v>
      </c>
      <c r="I15" s="3">
        <f t="shared" si="7"/>
        <v>0.36714568808524367</v>
      </c>
      <c r="J15" s="3">
        <f t="shared" si="8"/>
        <v>1.3486695031376288</v>
      </c>
      <c r="K15" s="3">
        <f t="shared" si="9"/>
        <v>0.26929688347882808</v>
      </c>
      <c r="L15" s="3">
        <f t="shared" si="10"/>
        <v>0.45175247598914386</v>
      </c>
      <c r="M15" s="3">
        <f t="shared" si="11"/>
        <v>0.11266342093961412</v>
      </c>
    </row>
    <row r="16" spans="1:36" x14ac:dyDescent="0.3">
      <c r="A16">
        <v>15</v>
      </c>
      <c r="B16">
        <v>472690.3597321987</v>
      </c>
      <c r="C16">
        <v>373111.35515915789</v>
      </c>
      <c r="D16">
        <v>442329.78639972251</v>
      </c>
      <c r="E16">
        <v>393845.28925374208</v>
      </c>
      <c r="F16">
        <v>371465.3328695338</v>
      </c>
      <c r="G16">
        <v>327004.99225884641</v>
      </c>
      <c r="H16">
        <f t="shared" si="0"/>
        <v>327004.99225884641</v>
      </c>
      <c r="I16" s="3">
        <f t="shared" si="7"/>
        <v>0.44551419985060209</v>
      </c>
      <c r="J16" s="3">
        <f t="shared" si="8"/>
        <v>0.14099589912014307</v>
      </c>
      <c r="K16" s="3">
        <f t="shared" si="9"/>
        <v>0.35266982728382562</v>
      </c>
      <c r="L16" s="3">
        <f t="shared" si="10"/>
        <v>0.20440145740034174</v>
      </c>
      <c r="M16" s="3">
        <f t="shared" si="11"/>
        <v>0.13596226866008834</v>
      </c>
    </row>
    <row r="17" spans="1:13" x14ac:dyDescent="0.3">
      <c r="A17">
        <v>16</v>
      </c>
      <c r="B17">
        <v>486526.6018326357</v>
      </c>
      <c r="C17">
        <v>761259.96691822482</v>
      </c>
      <c r="D17">
        <v>459954.66419635422</v>
      </c>
      <c r="E17">
        <v>440844.98858430871</v>
      </c>
      <c r="F17">
        <v>381427.55169159762</v>
      </c>
      <c r="G17">
        <v>344894.4976429207</v>
      </c>
      <c r="H17">
        <f t="shared" si="0"/>
        <v>344894.4976429207</v>
      </c>
      <c r="I17" s="3">
        <f t="shared" si="7"/>
        <v>0.41065341766151003</v>
      </c>
      <c r="J17" s="3">
        <f t="shared" si="8"/>
        <v>1.2072256070213663</v>
      </c>
      <c r="K17" s="3">
        <f t="shared" si="9"/>
        <v>0.33360974831369639</v>
      </c>
      <c r="L17" s="3">
        <f t="shared" si="10"/>
        <v>0.27820244044811737</v>
      </c>
      <c r="M17" s="3">
        <f t="shared" si="11"/>
        <v>0.10592530266023742</v>
      </c>
    </row>
    <row r="18" spans="1:13" x14ac:dyDescent="0.3">
      <c r="A18">
        <v>17</v>
      </c>
      <c r="B18">
        <v>598242.07828770112</v>
      </c>
      <c r="C18">
        <v>571518.90595533838</v>
      </c>
      <c r="D18">
        <v>576336.07400389167</v>
      </c>
      <c r="E18">
        <v>503185.79159808421</v>
      </c>
      <c r="F18">
        <v>461786.33035498799</v>
      </c>
      <c r="G18">
        <v>371625.58442253718</v>
      </c>
      <c r="H18">
        <f t="shared" si="0"/>
        <v>371625.58442253718</v>
      </c>
      <c r="I18" s="3">
        <f t="shared" si="7"/>
        <v>0.60979788088944287</v>
      </c>
      <c r="J18" s="3">
        <f t="shared" si="8"/>
        <v>0.53788902032515362</v>
      </c>
      <c r="K18" s="3">
        <f t="shared" si="9"/>
        <v>0.55085144339416436</v>
      </c>
      <c r="L18" s="3">
        <f t="shared" si="10"/>
        <v>0.3540127824621554</v>
      </c>
      <c r="M18" s="3">
        <f t="shared" si="11"/>
        <v>0.2426117837730416</v>
      </c>
    </row>
    <row r="19" spans="1:13" x14ac:dyDescent="0.3">
      <c r="A19">
        <v>18</v>
      </c>
      <c r="B19">
        <v>475592.09756319679</v>
      </c>
      <c r="C19">
        <v>875922.25473680487</v>
      </c>
      <c r="D19">
        <v>432190.00502434373</v>
      </c>
      <c r="E19">
        <v>475743.4271623377</v>
      </c>
      <c r="F19">
        <v>368419.15873906168</v>
      </c>
      <c r="G19">
        <v>328453.87312040332</v>
      </c>
      <c r="H19">
        <f t="shared" si="0"/>
        <v>328453.87312040332</v>
      </c>
      <c r="I19" s="3">
        <f t="shared" si="7"/>
        <v>0.44797226181241018</v>
      </c>
      <c r="J19" s="3">
        <f t="shared" si="8"/>
        <v>1.6668044630294638</v>
      </c>
      <c r="K19" s="3">
        <f t="shared" si="9"/>
        <v>0.31583165976524569</v>
      </c>
      <c r="L19" s="3">
        <f t="shared" si="10"/>
        <v>0.44843299499757017</v>
      </c>
      <c r="M19" s="3">
        <f t="shared" si="11"/>
        <v>0.12167701126181586</v>
      </c>
    </row>
    <row r="20" spans="1:13" x14ac:dyDescent="0.3">
      <c r="A20">
        <v>19</v>
      </c>
      <c r="B20">
        <v>520286.95607741852</v>
      </c>
      <c r="C20">
        <v>535603.9797739581</v>
      </c>
      <c r="D20">
        <v>470838.01762851462</v>
      </c>
      <c r="E20">
        <v>459714.13900077302</v>
      </c>
      <c r="F20">
        <v>390335.1406991189</v>
      </c>
      <c r="G20">
        <v>352222.67554026638</v>
      </c>
      <c r="H20">
        <f t="shared" si="0"/>
        <v>352222.67554026638</v>
      </c>
      <c r="I20" s="3">
        <f t="shared" si="7"/>
        <v>0.47715349467311308</v>
      </c>
      <c r="J20" s="3">
        <f t="shared" si="8"/>
        <v>0.52064025677054238</v>
      </c>
      <c r="K20" s="3">
        <f t="shared" si="9"/>
        <v>0.33676236746060384</v>
      </c>
      <c r="L20" s="3">
        <f t="shared" si="10"/>
        <v>0.30518041831244375</v>
      </c>
      <c r="M20" s="3">
        <f t="shared" si="11"/>
        <v>0.10820559778098519</v>
      </c>
    </row>
    <row r="21" spans="1:13" x14ac:dyDescent="0.3">
      <c r="A21">
        <v>20</v>
      </c>
      <c r="B21">
        <v>595417.21036487806</v>
      </c>
      <c r="C21">
        <v>747293.43449267908</v>
      </c>
      <c r="D21">
        <v>556594.62968523894</v>
      </c>
      <c r="E21">
        <v>518675.23023532273</v>
      </c>
      <c r="F21">
        <v>437068.70176308538</v>
      </c>
      <c r="G21">
        <v>370179.26088863157</v>
      </c>
      <c r="H21">
        <f t="shared" si="0"/>
        <v>370179.26088863157</v>
      </c>
      <c r="I21" s="3">
        <f t="shared" si="7"/>
        <v>0.60845642442408276</v>
      </c>
      <c r="J21" s="3">
        <f t="shared" si="8"/>
        <v>1.0187339309575809</v>
      </c>
      <c r="K21" s="3">
        <f t="shared" si="9"/>
        <v>0.50358134150764977</v>
      </c>
      <c r="L21" s="3">
        <f t="shared" si="10"/>
        <v>0.40114610686244295</v>
      </c>
      <c r="M21" s="3">
        <f t="shared" si="11"/>
        <v>0.18069472804576564</v>
      </c>
    </row>
  </sheetData>
  <pageMargins left="0.75" right="0.75" top="1" bottom="1" header="0.5" footer="0.5"/>
  <ignoredErrors>
    <ignoredError sqref="H3:H1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Matías Fernández Mayol</cp:lastModifiedBy>
  <dcterms:created xsi:type="dcterms:W3CDTF">2025-07-10T13:39:34Z</dcterms:created>
  <dcterms:modified xsi:type="dcterms:W3CDTF">2025-07-14T23:03:27Z</dcterms:modified>
</cp:coreProperties>
</file>